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Work\GitHub\public\test\Program\C++\hamming_code\"/>
    </mc:Choice>
  </mc:AlternateContent>
  <bookViews>
    <workbookView xWindow="0" yWindow="0" windowWidth="25365" windowHeight="10410"/>
  </bookViews>
  <sheets>
    <sheet name="ハミング符号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U84" i="1" l="1"/>
  <c r="EU85" i="1"/>
  <c r="EU86" i="1"/>
  <c r="EU87" i="1"/>
  <c r="EU88" i="1"/>
  <c r="EU89" i="1"/>
  <c r="EU90" i="1"/>
  <c r="EU91" i="1"/>
  <c r="EU92" i="1"/>
  <c r="EU93" i="1"/>
  <c r="EU94" i="1"/>
  <c r="EU95" i="1"/>
  <c r="EU96" i="1"/>
  <c r="EU97" i="1"/>
  <c r="EU98" i="1"/>
  <c r="EU99" i="1"/>
  <c r="EU100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0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164" i="1"/>
  <c r="EU165" i="1"/>
  <c r="EU166" i="1"/>
  <c r="EU167" i="1"/>
  <c r="EU168" i="1"/>
  <c r="EU169" i="1"/>
  <c r="EU170" i="1"/>
  <c r="EU171" i="1"/>
  <c r="EU172" i="1"/>
  <c r="EU173" i="1"/>
  <c r="EU174" i="1"/>
  <c r="EU175" i="1"/>
  <c r="EU176" i="1"/>
  <c r="EU177" i="1"/>
  <c r="EU178" i="1"/>
  <c r="EU179" i="1"/>
  <c r="EU180" i="1"/>
  <c r="EU181" i="1"/>
  <c r="EU182" i="1"/>
  <c r="EU183" i="1"/>
  <c r="EU184" i="1"/>
  <c r="EU185" i="1"/>
  <c r="EU186" i="1"/>
  <c r="EU187" i="1"/>
  <c r="EU188" i="1"/>
  <c r="EU189" i="1"/>
  <c r="EU190" i="1"/>
  <c r="EU191" i="1"/>
  <c r="EU192" i="1"/>
  <c r="EU193" i="1"/>
  <c r="EU194" i="1"/>
  <c r="EU195" i="1"/>
  <c r="EU196" i="1"/>
  <c r="EU197" i="1"/>
  <c r="EU198" i="1"/>
  <c r="EU199" i="1"/>
  <c r="EU200" i="1"/>
  <c r="EU201" i="1"/>
  <c r="EU202" i="1"/>
  <c r="EU203" i="1"/>
  <c r="EU204" i="1"/>
  <c r="EU205" i="1"/>
  <c r="EU206" i="1"/>
  <c r="EU207" i="1"/>
  <c r="EU208" i="1"/>
  <c r="EU209" i="1"/>
  <c r="EU210" i="1"/>
  <c r="EU211" i="1"/>
  <c r="EU212" i="1"/>
  <c r="EU213" i="1"/>
  <c r="EU214" i="1"/>
  <c r="EU215" i="1"/>
  <c r="EU216" i="1"/>
  <c r="EU217" i="1"/>
  <c r="EU218" i="1"/>
  <c r="EU219" i="1"/>
  <c r="EU220" i="1"/>
  <c r="EU221" i="1"/>
  <c r="EU222" i="1"/>
  <c r="EU223" i="1"/>
  <c r="EU224" i="1"/>
  <c r="EU225" i="1"/>
  <c r="EU226" i="1"/>
  <c r="EU227" i="1"/>
  <c r="EU228" i="1"/>
  <c r="EU229" i="1"/>
  <c r="EU230" i="1"/>
  <c r="EU231" i="1"/>
  <c r="EU232" i="1"/>
  <c r="EU233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83" i="1"/>
  <c r="EU82" i="1"/>
  <c r="EU81" i="1"/>
  <c r="EU80" i="1"/>
  <c r="EU79" i="1"/>
  <c r="EU78" i="1"/>
  <c r="EU77" i="1"/>
  <c r="EU76" i="1"/>
  <c r="EU75" i="1"/>
  <c r="EU74" i="1"/>
  <c r="EU73" i="1"/>
  <c r="EU72" i="1"/>
  <c r="EU71" i="1"/>
  <c r="EU70" i="1"/>
  <c r="EU69" i="1"/>
  <c r="EU68" i="1"/>
  <c r="EU67" i="1"/>
  <c r="EU66" i="1"/>
  <c r="EU65" i="1"/>
  <c r="EU64" i="1"/>
  <c r="EU63" i="1"/>
  <c r="EU62" i="1"/>
  <c r="EU61" i="1"/>
  <c r="EU60" i="1"/>
  <c r="EU59" i="1"/>
  <c r="EU58" i="1"/>
  <c r="EU57" i="1"/>
  <c r="EU56" i="1"/>
  <c r="EU55" i="1"/>
  <c r="EU54" i="1"/>
  <c r="EU53" i="1"/>
  <c r="EU52" i="1"/>
  <c r="EU51" i="1"/>
  <c r="EU50" i="1"/>
  <c r="EU49" i="1"/>
  <c r="EU48" i="1"/>
  <c r="EU47" i="1"/>
  <c r="EU46" i="1"/>
  <c r="EU45" i="1"/>
  <c r="EU44" i="1"/>
  <c r="EU43" i="1"/>
  <c r="EU42" i="1"/>
  <c r="EU41" i="1"/>
  <c r="EU40" i="1"/>
  <c r="EU39" i="1"/>
  <c r="EU38" i="1"/>
  <c r="EU37" i="1"/>
  <c r="EU36" i="1"/>
  <c r="EU35" i="1"/>
  <c r="EU34" i="1"/>
  <c r="EU33" i="1"/>
  <c r="EU32" i="1"/>
  <c r="EU31" i="1"/>
  <c r="EU30" i="1"/>
  <c r="EU29" i="1"/>
  <c r="EU28" i="1"/>
  <c r="EU27" i="1"/>
  <c r="EU26" i="1"/>
  <c r="EU25" i="1"/>
  <c r="EU24" i="1"/>
  <c r="EU23" i="1"/>
  <c r="EU22" i="1"/>
  <c r="EU21" i="1"/>
  <c r="EU20" i="1"/>
  <c r="EU19" i="1"/>
  <c r="EU18" i="1"/>
  <c r="EU17" i="1"/>
  <c r="EU16" i="1"/>
  <c r="V18" i="1" l="1"/>
  <c r="U18" i="1"/>
  <c r="T18" i="1"/>
  <c r="S18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E7" i="1"/>
  <c r="DU11" i="1"/>
  <c r="DQ11" i="1"/>
  <c r="DX14" i="1"/>
  <c r="DJ13" i="1"/>
  <c r="DR13" i="1"/>
  <c r="DU13" i="1"/>
  <c r="DK13" i="1"/>
  <c r="DU12" i="1"/>
  <c r="DJ14" i="1"/>
  <c r="DX12" i="1"/>
  <c r="DM13" i="1"/>
  <c r="DT11" i="1"/>
  <c r="DP11" i="1"/>
  <c r="DW14" i="1"/>
  <c r="DP14" i="1"/>
  <c r="DL14" i="1"/>
  <c r="DV13" i="1"/>
  <c r="DN12" i="1"/>
  <c r="DT12" i="1"/>
  <c r="DR12" i="1"/>
  <c r="DK12" i="1"/>
  <c r="DR11" i="1"/>
  <c r="DS11" i="1"/>
  <c r="DO11" i="1"/>
  <c r="DV14" i="1"/>
  <c r="DJ12" i="1"/>
  <c r="DJ11" i="1"/>
  <c r="DQ13" i="1"/>
  <c r="DM12" i="1"/>
  <c r="DS12" i="1"/>
  <c r="DS14" i="1"/>
  <c r="DK11" i="1"/>
  <c r="DW12" i="1"/>
  <c r="DT13" i="1"/>
  <c r="DN11" i="1"/>
  <c r="DU14" i="1"/>
  <c r="DO14" i="1"/>
  <c r="DK14" i="1"/>
  <c r="DP13" i="1"/>
  <c r="DV11" i="1"/>
  <c r="DP12" i="1"/>
  <c r="DO13" i="1"/>
  <c r="DN13" i="1"/>
  <c r="DX13" i="1"/>
  <c r="DY11" i="1"/>
  <c r="DM11" i="1"/>
  <c r="DY12" i="1"/>
  <c r="DQ12" i="1"/>
  <c r="DX11" i="1"/>
  <c r="DL11" i="1"/>
  <c r="DS13" i="1"/>
  <c r="DN14" i="1"/>
  <c r="DY13" i="1"/>
  <c r="DY14" i="1"/>
  <c r="DO12" i="1"/>
  <c r="DW11" i="1"/>
  <c r="DL12" i="1"/>
  <c r="DT14" i="1"/>
  <c r="DR14" i="1"/>
  <c r="DQ14" i="1"/>
  <c r="DM14" i="1"/>
  <c r="DW13" i="1"/>
  <c r="DL13" i="1"/>
  <c r="DV12" i="1"/>
  <c r="R28" i="1" l="1"/>
  <c r="Q28" i="1"/>
  <c r="P28" i="1"/>
  <c r="O28" i="1"/>
  <c r="R27" i="1"/>
  <c r="Q27" i="1"/>
  <c r="P27" i="1"/>
  <c r="O27" i="1"/>
  <c r="R26" i="1"/>
  <c r="Q26" i="1"/>
  <c r="P26" i="1"/>
  <c r="O26" i="1"/>
  <c r="R25" i="1"/>
  <c r="Q25" i="1"/>
  <c r="P25" i="1"/>
  <c r="O25" i="1"/>
  <c r="U16" i="1"/>
  <c r="T16" i="1"/>
  <c r="S16" i="1"/>
  <c r="U15" i="1"/>
  <c r="T15" i="1"/>
  <c r="S15" i="1"/>
  <c r="U14" i="1"/>
  <c r="T14" i="1"/>
  <c r="S14" i="1"/>
  <c r="R16" i="1"/>
  <c r="Q16" i="1"/>
  <c r="P16" i="1"/>
  <c r="O16" i="1"/>
  <c r="R15" i="1"/>
  <c r="Q15" i="1"/>
  <c r="P15" i="1"/>
  <c r="O15" i="1"/>
  <c r="R14" i="1"/>
  <c r="R18" i="1" s="1"/>
  <c r="Q14" i="1"/>
  <c r="P14" i="1"/>
  <c r="P18" i="1" s="1"/>
  <c r="O14" i="1"/>
  <c r="K28" i="1"/>
  <c r="U28" i="1" s="1"/>
  <c r="J28" i="1"/>
  <c r="T28" i="1" s="1"/>
  <c r="I28" i="1"/>
  <c r="S28" i="1" s="1"/>
  <c r="K27" i="1"/>
  <c r="U27" i="1" s="1"/>
  <c r="J27" i="1"/>
  <c r="T27" i="1" s="1"/>
  <c r="I27" i="1"/>
  <c r="S27" i="1" s="1"/>
  <c r="K26" i="1"/>
  <c r="U26" i="1" s="1"/>
  <c r="J26" i="1"/>
  <c r="T26" i="1" s="1"/>
  <c r="I26" i="1"/>
  <c r="S26" i="1" s="1"/>
  <c r="K25" i="1"/>
  <c r="U25" i="1" s="1"/>
  <c r="J25" i="1"/>
  <c r="T25" i="1" s="1"/>
  <c r="I25" i="1"/>
  <c r="S25" i="1" s="1"/>
  <c r="E41" i="1"/>
  <c r="D41" i="1"/>
  <c r="C41" i="1"/>
  <c r="B41" i="1"/>
  <c r="E40" i="1"/>
  <c r="D40" i="1"/>
  <c r="C40" i="1"/>
  <c r="B40" i="1"/>
  <c r="E39" i="1"/>
  <c r="D39" i="1"/>
  <c r="C39" i="1"/>
  <c r="B39" i="1"/>
  <c r="BF66" i="1"/>
  <c r="BE66" i="1"/>
  <c r="BD66" i="1"/>
  <c r="BC66" i="1"/>
  <c r="BB66" i="1"/>
  <c r="BA66" i="1"/>
  <c r="AZ66" i="1"/>
  <c r="AY66" i="1"/>
  <c r="AX66" i="1"/>
  <c r="AW66" i="1"/>
  <c r="AV66" i="1"/>
  <c r="AU66" i="1"/>
  <c r="AT66" i="1"/>
  <c r="AS66" i="1"/>
  <c r="AR66" i="1"/>
  <c r="AQ66" i="1"/>
  <c r="BF65" i="1"/>
  <c r="BE65" i="1"/>
  <c r="BD65" i="1"/>
  <c r="BC65" i="1"/>
  <c r="BB65" i="1"/>
  <c r="BA65" i="1"/>
  <c r="AZ65" i="1"/>
  <c r="AY65" i="1"/>
  <c r="AX65" i="1"/>
  <c r="AW65" i="1"/>
  <c r="AV65" i="1"/>
  <c r="AU65" i="1"/>
  <c r="AT65" i="1"/>
  <c r="AS65" i="1"/>
  <c r="AR65" i="1"/>
  <c r="AQ65" i="1"/>
  <c r="BF64" i="1"/>
  <c r="BE64" i="1"/>
  <c r="BD64" i="1"/>
  <c r="BC64" i="1"/>
  <c r="BB64" i="1"/>
  <c r="BA64" i="1"/>
  <c r="AZ64" i="1"/>
  <c r="AY64" i="1"/>
  <c r="AX64" i="1"/>
  <c r="AW64" i="1"/>
  <c r="AV64" i="1"/>
  <c r="AU64" i="1"/>
  <c r="AT64" i="1"/>
  <c r="AS64" i="1"/>
  <c r="AR64" i="1"/>
  <c r="AQ64" i="1"/>
  <c r="BF63" i="1"/>
  <c r="BE63" i="1"/>
  <c r="BD63" i="1"/>
  <c r="BC63" i="1"/>
  <c r="BB63" i="1"/>
  <c r="BA63" i="1"/>
  <c r="AZ63" i="1"/>
  <c r="AY63" i="1"/>
  <c r="AX63" i="1"/>
  <c r="AW63" i="1"/>
  <c r="AV63" i="1"/>
  <c r="AU63" i="1"/>
  <c r="AT63" i="1"/>
  <c r="AS63" i="1"/>
  <c r="AR63" i="1"/>
  <c r="AQ63" i="1"/>
  <c r="AK43" i="1"/>
  <c r="AK42" i="1"/>
  <c r="W61" i="1"/>
  <c r="AF61" i="1" s="1"/>
  <c r="V61" i="1"/>
  <c r="AE61" i="1" s="1"/>
  <c r="U61" i="1"/>
  <c r="AD61" i="1" s="1"/>
  <c r="T61" i="1"/>
  <c r="AC61" i="1" s="1"/>
  <c r="W60" i="1"/>
  <c r="AF60" i="1" s="1"/>
  <c r="V60" i="1"/>
  <c r="AE60" i="1" s="1"/>
  <c r="U60" i="1"/>
  <c r="AD60" i="1" s="1"/>
  <c r="T60" i="1"/>
  <c r="AC60" i="1" s="1"/>
  <c r="W59" i="1"/>
  <c r="AF59" i="1" s="1"/>
  <c r="V59" i="1"/>
  <c r="AE59" i="1" s="1"/>
  <c r="U59" i="1"/>
  <c r="AD59" i="1" s="1"/>
  <c r="T59" i="1"/>
  <c r="AC59" i="1" s="1"/>
  <c r="W58" i="1"/>
  <c r="AF58" i="1" s="1"/>
  <c r="V58" i="1"/>
  <c r="AE58" i="1" s="1"/>
  <c r="U58" i="1"/>
  <c r="AD58" i="1" s="1"/>
  <c r="T58" i="1"/>
  <c r="AC58" i="1" s="1"/>
  <c r="W57" i="1"/>
  <c r="AF57" i="1" s="1"/>
  <c r="V57" i="1"/>
  <c r="AE57" i="1" s="1"/>
  <c r="U57" i="1"/>
  <c r="AD57" i="1" s="1"/>
  <c r="T57" i="1"/>
  <c r="AC57" i="1" s="1"/>
  <c r="W56" i="1"/>
  <c r="AF56" i="1" s="1"/>
  <c r="V56" i="1"/>
  <c r="AE56" i="1" s="1"/>
  <c r="U56" i="1"/>
  <c r="AD56" i="1" s="1"/>
  <c r="T56" i="1"/>
  <c r="AC56" i="1" s="1"/>
  <c r="W55" i="1"/>
  <c r="AF55" i="1" s="1"/>
  <c r="V55" i="1"/>
  <c r="AE55" i="1" s="1"/>
  <c r="U55" i="1"/>
  <c r="AD55" i="1" s="1"/>
  <c r="T55" i="1"/>
  <c r="AC55" i="1" s="1"/>
  <c r="W54" i="1"/>
  <c r="AF54" i="1" s="1"/>
  <c r="V54" i="1"/>
  <c r="AE54" i="1" s="1"/>
  <c r="U54" i="1"/>
  <c r="AD54" i="1" s="1"/>
  <c r="T54" i="1"/>
  <c r="AC54" i="1" s="1"/>
  <c r="W53" i="1"/>
  <c r="AF53" i="1" s="1"/>
  <c r="V53" i="1"/>
  <c r="AE53" i="1" s="1"/>
  <c r="U53" i="1"/>
  <c r="AD53" i="1" s="1"/>
  <c r="T53" i="1"/>
  <c r="AC53" i="1" s="1"/>
  <c r="W52" i="1"/>
  <c r="AF52" i="1" s="1"/>
  <c r="V52" i="1"/>
  <c r="AE52" i="1" s="1"/>
  <c r="U52" i="1"/>
  <c r="AD52" i="1" s="1"/>
  <c r="T52" i="1"/>
  <c r="AC52" i="1" s="1"/>
  <c r="W51" i="1"/>
  <c r="AF51" i="1" s="1"/>
  <c r="V51" i="1"/>
  <c r="AE51" i="1" s="1"/>
  <c r="U51" i="1"/>
  <c r="AD51" i="1" s="1"/>
  <c r="T51" i="1"/>
  <c r="AC51" i="1" s="1"/>
  <c r="W50" i="1"/>
  <c r="AF50" i="1" s="1"/>
  <c r="V50" i="1"/>
  <c r="AE50" i="1" s="1"/>
  <c r="U50" i="1"/>
  <c r="AD50" i="1" s="1"/>
  <c r="T50" i="1"/>
  <c r="AC50" i="1" s="1"/>
  <c r="W49" i="1"/>
  <c r="AF49" i="1" s="1"/>
  <c r="V49" i="1"/>
  <c r="AE49" i="1" s="1"/>
  <c r="U49" i="1"/>
  <c r="AD49" i="1" s="1"/>
  <c r="T49" i="1"/>
  <c r="AC49" i="1" s="1"/>
  <c r="W48" i="1"/>
  <c r="AF48" i="1" s="1"/>
  <c r="V48" i="1"/>
  <c r="AE48" i="1" s="1"/>
  <c r="U48" i="1"/>
  <c r="AD48" i="1" s="1"/>
  <c r="T48" i="1"/>
  <c r="AC48" i="1" s="1"/>
  <c r="W47" i="1"/>
  <c r="AF47" i="1" s="1"/>
  <c r="V47" i="1"/>
  <c r="AE47" i="1" s="1"/>
  <c r="U47" i="1"/>
  <c r="AD47" i="1" s="1"/>
  <c r="T47" i="1"/>
  <c r="AC47" i="1" s="1"/>
  <c r="W46" i="1"/>
  <c r="AF46" i="1" s="1"/>
  <c r="V46" i="1"/>
  <c r="AE46" i="1" s="1"/>
  <c r="U46" i="1"/>
  <c r="AD46" i="1" s="1"/>
  <c r="T46" i="1"/>
  <c r="AC46" i="1" s="1"/>
  <c r="O29" i="1"/>
  <c r="BC14" i="1"/>
  <c r="BL25" i="1" s="1"/>
  <c r="BU25" i="1" s="1"/>
  <c r="EM11" i="1" s="1"/>
  <c r="BA14" i="1"/>
  <c r="BL23" i="1" s="1"/>
  <c r="BU23" i="1" s="1"/>
  <c r="EK11" i="1" s="1"/>
  <c r="AZ14" i="1"/>
  <c r="AW14" i="1"/>
  <c r="BL19" i="1" s="1"/>
  <c r="BU19" i="1" s="1"/>
  <c r="EG11" i="1" s="1"/>
  <c r="AU14" i="1"/>
  <c r="BL17" i="1" s="1"/>
  <c r="BU17" i="1" s="1"/>
  <c r="EE11" i="1" s="1"/>
  <c r="AS14" i="1"/>
  <c r="BL15" i="1" s="1"/>
  <c r="BU15" i="1" s="1"/>
  <c r="EC11" i="1" s="1"/>
  <c r="O18" i="1" l="1"/>
  <c r="Q18" i="1"/>
  <c r="BG15" i="1"/>
  <c r="BM29" i="1" s="1"/>
  <c r="BV29" i="1" s="1"/>
  <c r="EQ12" i="1" s="1"/>
  <c r="BA19" i="1"/>
  <c r="BQ23" i="1" s="1"/>
  <c r="BZ23" i="1" s="1"/>
  <c r="EK16" i="1" s="1"/>
  <c r="AW20" i="1"/>
  <c r="BR19" i="1" s="1"/>
  <c r="CA19" i="1" s="1"/>
  <c r="EG17" i="1" s="1"/>
  <c r="AT20" i="1"/>
  <c r="BR16" i="1" s="1"/>
  <c r="CA16" i="1" s="1"/>
  <c r="ED17" i="1" s="1"/>
  <c r="AZ20" i="1"/>
  <c r="BR22" i="1" s="1"/>
  <c r="CA22" i="1" s="1"/>
  <c r="EJ17" i="1" s="1"/>
  <c r="AX19" i="1"/>
  <c r="BQ20" i="1" s="1"/>
  <c r="BZ20" i="1" s="1"/>
  <c r="EH16" i="1" s="1"/>
  <c r="AV19" i="1"/>
  <c r="BQ18" i="1" s="1"/>
  <c r="BZ18" i="1" s="1"/>
  <c r="EF16" i="1" s="1"/>
  <c r="AV18" i="1"/>
  <c r="BP18" i="1" s="1"/>
  <c r="BY18" i="1" s="1"/>
  <c r="EF15" i="1" s="1"/>
  <c r="BD18" i="1"/>
  <c r="BP26" i="1" s="1"/>
  <c r="BY26" i="1" s="1"/>
  <c r="EN15" i="1" s="1"/>
  <c r="AU18" i="1"/>
  <c r="BP17" i="1" s="1"/>
  <c r="BY17" i="1" s="1"/>
  <c r="EE15" i="1" s="1"/>
  <c r="AX18" i="1"/>
  <c r="BP20" i="1" s="1"/>
  <c r="BY20" i="1" s="1"/>
  <c r="EH15" i="1" s="1"/>
  <c r="AT19" i="1"/>
  <c r="BQ16" i="1" s="1"/>
  <c r="BZ16" i="1" s="1"/>
  <c r="ED16" i="1" s="1"/>
  <c r="BG19" i="1"/>
  <c r="BQ29" i="1" s="1"/>
  <c r="BZ29" i="1" s="1"/>
  <c r="EQ16" i="1" s="1"/>
  <c r="BC20" i="1"/>
  <c r="BR25" i="1" s="1"/>
  <c r="CA25" i="1" s="1"/>
  <c r="EM17" i="1" s="1"/>
  <c r="AY19" i="1"/>
  <c r="BQ21" i="1" s="1"/>
  <c r="BZ21" i="1" s="1"/>
  <c r="EI16" i="1" s="1"/>
  <c r="BD19" i="1"/>
  <c r="BQ26" i="1" s="1"/>
  <c r="BZ26" i="1" s="1"/>
  <c r="EN16" i="1" s="1"/>
  <c r="AZ15" i="1"/>
  <c r="BM22" i="1" s="1"/>
  <c r="BV22" i="1" s="1"/>
  <c r="EJ12" i="1" s="1"/>
  <c r="BD14" i="1"/>
  <c r="BL26" i="1" s="1"/>
  <c r="BU26" i="1" s="1"/>
  <c r="EN11" i="1" s="1"/>
  <c r="AS19" i="1"/>
  <c r="BQ15" i="1" s="1"/>
  <c r="BZ15" i="1" s="1"/>
  <c r="EC16" i="1" s="1"/>
  <c r="BG20" i="1"/>
  <c r="BR29" i="1" s="1"/>
  <c r="CA29" i="1" s="1"/>
  <c r="EQ17" i="1" s="1"/>
  <c r="AU20" i="1"/>
  <c r="BR17" i="1" s="1"/>
  <c r="CA17" i="1" s="1"/>
  <c r="EE17" i="1" s="1"/>
  <c r="AX20" i="1"/>
  <c r="BR20" i="1" s="1"/>
  <c r="CA20" i="1" s="1"/>
  <c r="EH17" i="1" s="1"/>
  <c r="BA20" i="1"/>
  <c r="BR23" i="1" s="1"/>
  <c r="CA23" i="1" s="1"/>
  <c r="EK17" i="1" s="1"/>
  <c r="BB20" i="1"/>
  <c r="BR24" i="1" s="1"/>
  <c r="CA24" i="1" s="1"/>
  <c r="EL17" i="1" s="1"/>
  <c r="BE19" i="1"/>
  <c r="BQ27" i="1" s="1"/>
  <c r="BZ27" i="1" s="1"/>
  <c r="EO16" i="1" s="1"/>
  <c r="AY20" i="1"/>
  <c r="BR21" i="1" s="1"/>
  <c r="CA21" i="1" s="1"/>
  <c r="EI17" i="1" s="1"/>
  <c r="AS20" i="1"/>
  <c r="BR15" i="1" s="1"/>
  <c r="CA15" i="1" s="1"/>
  <c r="EC17" i="1" s="1"/>
  <c r="AV20" i="1"/>
  <c r="BR18" i="1" s="1"/>
  <c r="CA18" i="1" s="1"/>
  <c r="EF17" i="1" s="1"/>
  <c r="AZ18" i="1"/>
  <c r="BP22" i="1" s="1"/>
  <c r="BY22" i="1" s="1"/>
  <c r="EJ15" i="1" s="1"/>
  <c r="BF20" i="1"/>
  <c r="BR28" i="1" s="1"/>
  <c r="CA28" i="1" s="1"/>
  <c r="EP17" i="1" s="1"/>
  <c r="BD20" i="1"/>
  <c r="BR26" i="1" s="1"/>
  <c r="CA26" i="1" s="1"/>
  <c r="EN17" i="1" s="1"/>
  <c r="AW18" i="1"/>
  <c r="BP19" i="1" s="1"/>
  <c r="BY19" i="1" s="1"/>
  <c r="EG15" i="1" s="1"/>
  <c r="BB19" i="1"/>
  <c r="BQ24" i="1" s="1"/>
  <c r="BZ24" i="1" s="1"/>
  <c r="EL16" i="1" s="1"/>
  <c r="BE18" i="1"/>
  <c r="BP27" i="1" s="1"/>
  <c r="BY27" i="1" s="1"/>
  <c r="EO15" i="1" s="1"/>
  <c r="T29" i="1"/>
  <c r="AW19" i="1"/>
  <c r="BQ19" i="1" s="1"/>
  <c r="BZ19" i="1" s="1"/>
  <c r="EG16" i="1" s="1"/>
  <c r="U29" i="1"/>
  <c r="AU19" i="1"/>
  <c r="BQ17" i="1" s="1"/>
  <c r="BZ17" i="1" s="1"/>
  <c r="EE16" i="1" s="1"/>
  <c r="BE20" i="1"/>
  <c r="BR27" i="1" s="1"/>
  <c r="CA27" i="1" s="1"/>
  <c r="EO17" i="1" s="1"/>
  <c r="BF18" i="1"/>
  <c r="BP28" i="1" s="1"/>
  <c r="BY28" i="1" s="1"/>
  <c r="EP15" i="1" s="1"/>
  <c r="AZ19" i="1"/>
  <c r="BQ22" i="1" s="1"/>
  <c r="BZ22" i="1" s="1"/>
  <c r="EJ16" i="1" s="1"/>
  <c r="BC19" i="1"/>
  <c r="BQ25" i="1" s="1"/>
  <c r="BZ25" i="1" s="1"/>
  <c r="EM16" i="1" s="1"/>
  <c r="BF19" i="1"/>
  <c r="BQ28" i="1" s="1"/>
  <c r="BZ28" i="1" s="1"/>
  <c r="EP16" i="1" s="1"/>
  <c r="AS18" i="1"/>
  <c r="BP15" i="1" s="1"/>
  <c r="BY15" i="1" s="1"/>
  <c r="EC15" i="1" s="1"/>
  <c r="BB18" i="1"/>
  <c r="BP24" i="1" s="1"/>
  <c r="BY24" i="1" s="1"/>
  <c r="EL15" i="1" s="1"/>
  <c r="BG18" i="1"/>
  <c r="BP29" i="1" s="1"/>
  <c r="BY29" i="1" s="1"/>
  <c r="EQ15" i="1" s="1"/>
  <c r="AT18" i="1"/>
  <c r="BP16" i="1" s="1"/>
  <c r="BY16" i="1" s="1"/>
  <c r="ED15" i="1" s="1"/>
  <c r="AY18" i="1"/>
  <c r="BP21" i="1" s="1"/>
  <c r="BY21" i="1" s="1"/>
  <c r="EI15" i="1" s="1"/>
  <c r="BC18" i="1"/>
  <c r="BP25" i="1" s="1"/>
  <c r="BY25" i="1" s="1"/>
  <c r="EM15" i="1" s="1"/>
  <c r="S29" i="1"/>
  <c r="BA18" i="1"/>
  <c r="BP23" i="1" s="1"/>
  <c r="BY23" i="1" s="1"/>
  <c r="EK15" i="1" s="1"/>
  <c r="AX15" i="1"/>
  <c r="BM20" i="1" s="1"/>
  <c r="BV20" i="1" s="1"/>
  <c r="EH12" i="1" s="1"/>
  <c r="BD15" i="1"/>
  <c r="BM26" i="1" s="1"/>
  <c r="BV26" i="1" s="1"/>
  <c r="EN12" i="1" s="1"/>
  <c r="BF15" i="1"/>
  <c r="BM28" i="1" s="1"/>
  <c r="BV28" i="1" s="1"/>
  <c r="EP12" i="1" s="1"/>
  <c r="AW15" i="1"/>
  <c r="BM19" i="1" s="1"/>
  <c r="BV19" i="1" s="1"/>
  <c r="EG12" i="1" s="1"/>
  <c r="AY15" i="1"/>
  <c r="BM21" i="1" s="1"/>
  <c r="BV21" i="1" s="1"/>
  <c r="EI12" i="1" s="1"/>
  <c r="P29" i="1"/>
  <c r="AS15" i="1"/>
  <c r="BM15" i="1" s="1"/>
  <c r="BV15" i="1" s="1"/>
  <c r="EC12" i="1" s="1"/>
  <c r="BB15" i="1"/>
  <c r="BM24" i="1" s="1"/>
  <c r="BV24" i="1" s="1"/>
  <c r="EL12" i="1" s="1"/>
  <c r="AU15" i="1"/>
  <c r="BM17" i="1" s="1"/>
  <c r="BV17" i="1" s="1"/>
  <c r="EE12" i="1" s="1"/>
  <c r="AT15" i="1"/>
  <c r="BM16" i="1" s="1"/>
  <c r="BV16" i="1" s="1"/>
  <c r="ED12" i="1" s="1"/>
  <c r="BA15" i="1"/>
  <c r="BM23" i="1" s="1"/>
  <c r="BV23" i="1" s="1"/>
  <c r="EK12" i="1" s="1"/>
  <c r="AV15" i="1"/>
  <c r="BM18" i="1" s="1"/>
  <c r="BV18" i="1" s="1"/>
  <c r="EF12" i="1" s="1"/>
  <c r="BC15" i="1"/>
  <c r="BM25" i="1" s="1"/>
  <c r="BV25" i="1" s="1"/>
  <c r="EM12" i="1" s="1"/>
  <c r="BE15" i="1"/>
  <c r="BM27" i="1" s="1"/>
  <c r="BV27" i="1" s="1"/>
  <c r="EO12" i="1" s="1"/>
  <c r="AX14" i="1"/>
  <c r="BL20" i="1" s="1"/>
  <c r="BU20" i="1" s="1"/>
  <c r="EH11" i="1" s="1"/>
  <c r="BF14" i="1"/>
  <c r="BL28" i="1" s="1"/>
  <c r="BU28" i="1" s="1"/>
  <c r="EP11" i="1" s="1"/>
  <c r="AT14" i="1"/>
  <c r="BL16" i="1" s="1"/>
  <c r="BU16" i="1" s="1"/>
  <c r="ED11" i="1" s="1"/>
  <c r="BB14" i="1"/>
  <c r="BL24" i="1" s="1"/>
  <c r="BU24" i="1" s="1"/>
  <c r="EL11" i="1" s="1"/>
  <c r="BE14" i="1"/>
  <c r="BL27" i="1" s="1"/>
  <c r="BU27" i="1" s="1"/>
  <c r="EO11" i="1" s="1"/>
  <c r="AY14" i="1"/>
  <c r="BL21" i="1" s="1"/>
  <c r="BU21" i="1" s="1"/>
  <c r="EI11" i="1" s="1"/>
  <c r="BG14" i="1"/>
  <c r="BL29" i="1" s="1"/>
  <c r="BU29" i="1" s="1"/>
  <c r="EQ11" i="1" s="1"/>
  <c r="AV14" i="1"/>
  <c r="BL18" i="1" s="1"/>
  <c r="BU18" i="1" s="1"/>
  <c r="EF11" i="1" s="1"/>
  <c r="BL22" i="1"/>
  <c r="BU22" i="1" s="1"/>
  <c r="EJ11" i="1" s="1"/>
  <c r="B52" i="1"/>
  <c r="L52" i="1"/>
  <c r="B53" i="1"/>
  <c r="C52" i="1"/>
  <c r="D52" i="1"/>
  <c r="Q52" i="1"/>
  <c r="K52" i="1"/>
  <c r="E52" i="1"/>
  <c r="M52" i="1"/>
  <c r="F52" i="1"/>
  <c r="N52" i="1"/>
  <c r="G52" i="1"/>
  <c r="O52" i="1"/>
  <c r="H52" i="1"/>
  <c r="P52" i="1"/>
  <c r="I52" i="1"/>
  <c r="J52" i="1"/>
  <c r="J51" i="1"/>
  <c r="C53" i="1"/>
  <c r="K53" i="1"/>
  <c r="D53" i="1"/>
  <c r="L53" i="1"/>
  <c r="N53" i="1"/>
  <c r="E53" i="1"/>
  <c r="M53" i="1"/>
  <c r="F53" i="1"/>
  <c r="G53" i="1"/>
  <c r="O53" i="1"/>
  <c r="H53" i="1"/>
  <c r="P53" i="1"/>
  <c r="I53" i="1"/>
  <c r="Q53" i="1"/>
  <c r="J53" i="1"/>
  <c r="L51" i="1"/>
  <c r="C51" i="1"/>
  <c r="M51" i="1"/>
  <c r="K51" i="1"/>
  <c r="D51" i="1"/>
  <c r="E51" i="1"/>
  <c r="F51" i="1"/>
  <c r="N51" i="1"/>
  <c r="O51" i="1"/>
  <c r="H51" i="1"/>
  <c r="B51" i="1"/>
  <c r="I51" i="1"/>
  <c r="Q51" i="1"/>
  <c r="G51" i="1"/>
  <c r="P51" i="1"/>
  <c r="CC11" i="1"/>
  <c r="CC10" i="1"/>
  <c r="AR20" i="1"/>
  <c r="BR14" i="1" s="1"/>
  <c r="CA14" i="1" s="1"/>
  <c r="EB17" i="1" s="1"/>
  <c r="AR19" i="1"/>
  <c r="BQ14" i="1" s="1"/>
  <c r="BZ14" i="1" s="1"/>
  <c r="EB16" i="1" s="1"/>
  <c r="AR18" i="1"/>
  <c r="BP14" i="1" s="1"/>
  <c r="BY14" i="1" s="1"/>
  <c r="EB15" i="1" s="1"/>
  <c r="AR15" i="1"/>
  <c r="BM14" i="1" s="1"/>
  <c r="BV14" i="1" s="1"/>
  <c r="EB12" i="1" s="1"/>
  <c r="AR14" i="1"/>
  <c r="AB20" i="1"/>
  <c r="AB19" i="1"/>
  <c r="AB18" i="1"/>
  <c r="AB16" i="1"/>
  <c r="AB15" i="1"/>
  <c r="AB14" i="1"/>
  <c r="AA19" i="1"/>
  <c r="Z19" i="1"/>
  <c r="AA17" i="1"/>
  <c r="Z17" i="1"/>
  <c r="R29" i="1"/>
  <c r="AA18" i="1"/>
  <c r="AA16" i="1"/>
  <c r="AA14" i="1"/>
  <c r="Z20" i="1"/>
  <c r="Z18" i="1"/>
  <c r="Z15" i="1"/>
  <c r="Z14" i="1"/>
  <c r="Y20" i="1"/>
  <c r="Y19" i="1"/>
  <c r="Y18" i="1"/>
  <c r="Y17" i="1"/>
  <c r="Y16" i="1"/>
  <c r="Y15" i="1"/>
  <c r="Y14" i="1"/>
  <c r="AA31" i="1"/>
  <c r="AA30" i="1"/>
  <c r="AA29" i="1"/>
  <c r="AA28" i="1"/>
  <c r="AA27" i="1"/>
  <c r="AA26" i="1"/>
  <c r="AA25" i="1"/>
  <c r="G4" i="1"/>
  <c r="G5" i="1" s="1"/>
  <c r="DK15" i="1"/>
  <c r="DU15" i="1"/>
  <c r="DO17" i="1"/>
  <c r="DW17" i="1"/>
  <c r="DU16" i="1"/>
  <c r="DJ16" i="1"/>
  <c r="DX17" i="1"/>
  <c r="DV16" i="1"/>
  <c r="DL15" i="1"/>
  <c r="DX15" i="1"/>
  <c r="DM15" i="1"/>
  <c r="DY15" i="1"/>
  <c r="DQ17" i="1"/>
  <c r="DR17" i="1"/>
  <c r="DW16" i="1"/>
  <c r="DP16" i="1"/>
  <c r="DL16" i="1"/>
  <c r="DM16" i="1"/>
  <c r="DN15" i="1"/>
  <c r="DV15" i="1"/>
  <c r="DT17" i="1"/>
  <c r="DJ17" i="1"/>
  <c r="DX16" i="1"/>
  <c r="DQ16" i="1"/>
  <c r="DY17" i="1"/>
  <c r="DY16" i="1"/>
  <c r="DT15" i="1"/>
  <c r="DO15" i="1"/>
  <c r="DK17" i="1"/>
  <c r="DW15" i="1"/>
  <c r="DP15" i="1"/>
  <c r="DL17" i="1"/>
  <c r="DS17" i="1"/>
  <c r="DN16" i="1"/>
  <c r="DK16" i="1"/>
  <c r="DU17" i="1"/>
  <c r="DO16" i="1"/>
  <c r="DR15" i="1"/>
  <c r="DQ15" i="1"/>
  <c r="DM17" i="1"/>
  <c r="DS16" i="1"/>
  <c r="DJ15" i="1"/>
  <c r="DS15" i="1"/>
  <c r="DN17" i="1"/>
  <c r="DV17" i="1"/>
  <c r="DT16" i="1"/>
  <c r="DR16" i="1"/>
  <c r="DP17" i="1"/>
  <c r="AA33" i="1" l="1"/>
  <c r="Q29" i="1"/>
  <c r="Y48" i="1"/>
  <c r="AH48" i="1" s="1"/>
  <c r="AS68" i="1"/>
  <c r="AV67" i="1"/>
  <c r="X51" i="1"/>
  <c r="AG51" i="1" s="1"/>
  <c r="AT67" i="1"/>
  <c r="X49" i="1"/>
  <c r="AG49" i="1" s="1"/>
  <c r="BC69" i="1"/>
  <c r="Z58" i="1"/>
  <c r="AI58" i="1" s="1"/>
  <c r="BE68" i="1"/>
  <c r="Y60" i="1"/>
  <c r="AH60" i="1" s="1"/>
  <c r="Y55" i="1"/>
  <c r="AH55" i="1" s="1"/>
  <c r="AZ68" i="1"/>
  <c r="BF67" i="1"/>
  <c r="X61" i="1"/>
  <c r="AG61" i="1" s="1"/>
  <c r="AS67" i="1"/>
  <c r="X48" i="1"/>
  <c r="AG48" i="1" s="1"/>
  <c r="BE69" i="1"/>
  <c r="Z60" i="1"/>
  <c r="AI60" i="1" s="1"/>
  <c r="Z56" i="1"/>
  <c r="AI56" i="1" s="1"/>
  <c r="BA69" i="1"/>
  <c r="AW68" i="1"/>
  <c r="Y52" i="1"/>
  <c r="AH52" i="1" s="1"/>
  <c r="BF68" i="1"/>
  <c r="Y61" i="1"/>
  <c r="AH61" i="1" s="1"/>
  <c r="X55" i="1"/>
  <c r="AG55" i="1" s="1"/>
  <c r="AZ67" i="1"/>
  <c r="X46" i="1"/>
  <c r="AG46" i="1" s="1"/>
  <c r="AQ67" i="1"/>
  <c r="BB67" i="1"/>
  <c r="X57" i="1"/>
  <c r="AG57" i="1" s="1"/>
  <c r="BD69" i="1"/>
  <c r="Z59" i="1"/>
  <c r="AI59" i="1" s="1"/>
  <c r="Z55" i="1"/>
  <c r="AI55" i="1" s="1"/>
  <c r="AZ69" i="1"/>
  <c r="AV68" i="1"/>
  <c r="Y51" i="1"/>
  <c r="AH51" i="1" s="1"/>
  <c r="Y47" i="1"/>
  <c r="AH47" i="1" s="1"/>
  <c r="AR68" i="1"/>
  <c r="AX67" i="1"/>
  <c r="X53" i="1"/>
  <c r="AG53" i="1" s="1"/>
  <c r="AW67" i="1"/>
  <c r="X52" i="1"/>
  <c r="AG52" i="1" s="1"/>
  <c r="X47" i="1"/>
  <c r="AG47" i="1" s="1"/>
  <c r="AR67" i="1"/>
  <c r="AV69" i="1"/>
  <c r="Z51" i="1"/>
  <c r="AI51" i="1" s="1"/>
  <c r="Z47" i="1"/>
  <c r="AI47" i="1" s="1"/>
  <c r="AR69" i="1"/>
  <c r="N55" i="1"/>
  <c r="AA58" i="1" s="1"/>
  <c r="AJ58" i="1" s="1"/>
  <c r="BC68" i="1"/>
  <c r="Y58" i="1"/>
  <c r="AH58" i="1" s="1"/>
  <c r="Z46" i="1"/>
  <c r="AI46" i="1" s="1"/>
  <c r="AQ69" i="1"/>
  <c r="BD68" i="1"/>
  <c r="Y59" i="1"/>
  <c r="AH59" i="1" s="1"/>
  <c r="BD67" i="1"/>
  <c r="X59" i="1"/>
  <c r="AG59" i="1" s="1"/>
  <c r="BA67" i="1"/>
  <c r="X56" i="1"/>
  <c r="AG56" i="1" s="1"/>
  <c r="AU69" i="1"/>
  <c r="Z50" i="1"/>
  <c r="AI50" i="1" s="1"/>
  <c r="X54" i="1"/>
  <c r="AG54" i="1" s="1"/>
  <c r="AY67" i="1"/>
  <c r="AU68" i="1"/>
  <c r="Y50" i="1"/>
  <c r="AH50" i="1" s="1"/>
  <c r="Y56" i="1"/>
  <c r="AH56" i="1" s="1"/>
  <c r="BA68" i="1"/>
  <c r="BC67" i="1"/>
  <c r="X58" i="1"/>
  <c r="AG58" i="1" s="1"/>
  <c r="Z54" i="1"/>
  <c r="AI54" i="1" s="1"/>
  <c r="AY69" i="1"/>
  <c r="Z57" i="1"/>
  <c r="AI57" i="1" s="1"/>
  <c r="BB69" i="1"/>
  <c r="Y54" i="1"/>
  <c r="AH54" i="1" s="1"/>
  <c r="AY68" i="1"/>
  <c r="BB68" i="1"/>
  <c r="Y57" i="1"/>
  <c r="AH57" i="1" s="1"/>
  <c r="Y46" i="1"/>
  <c r="AH46" i="1" s="1"/>
  <c r="AQ68" i="1"/>
  <c r="AW69" i="1"/>
  <c r="Z52" i="1"/>
  <c r="AI52" i="1" s="1"/>
  <c r="BE67" i="1"/>
  <c r="X60" i="1"/>
  <c r="AG60" i="1" s="1"/>
  <c r="AU67" i="1"/>
  <c r="X50" i="1"/>
  <c r="AG50" i="1" s="1"/>
  <c r="BF69" i="1"/>
  <c r="Z61" i="1"/>
  <c r="AI61" i="1" s="1"/>
  <c r="Z49" i="1"/>
  <c r="AI49" i="1" s="1"/>
  <c r="AT69" i="1"/>
  <c r="AX68" i="1"/>
  <c r="Y53" i="1"/>
  <c r="AH53" i="1" s="1"/>
  <c r="AT68" i="1"/>
  <c r="Y49" i="1"/>
  <c r="AH49" i="1" s="1"/>
  <c r="Z48" i="1"/>
  <c r="AI48" i="1" s="1"/>
  <c r="AS69" i="1"/>
  <c r="AX69" i="1"/>
  <c r="Z53" i="1"/>
  <c r="AI53" i="1" s="1"/>
  <c r="F55" i="1"/>
  <c r="AA50" i="1" s="1"/>
  <c r="AJ50" i="1" s="1"/>
  <c r="G55" i="1"/>
  <c r="AA51" i="1" s="1"/>
  <c r="AJ51" i="1" s="1"/>
  <c r="C55" i="1"/>
  <c r="AA47" i="1" s="1"/>
  <c r="AJ47" i="1" s="1"/>
  <c r="L55" i="1"/>
  <c r="AA56" i="1" s="1"/>
  <c r="AJ56" i="1" s="1"/>
  <c r="J55" i="1"/>
  <c r="AA54" i="1" s="1"/>
  <c r="AJ54" i="1" s="1"/>
  <c r="M55" i="1"/>
  <c r="AA57" i="1" s="1"/>
  <c r="AJ57" i="1" s="1"/>
  <c r="BC16" i="1"/>
  <c r="AU16" i="1"/>
  <c r="BA16" i="1"/>
  <c r="AS16" i="1"/>
  <c r="BD16" i="1"/>
  <c r="AV16" i="1"/>
  <c r="AX16" i="1"/>
  <c r="BE16" i="1"/>
  <c r="AW16" i="1"/>
  <c r="BF16" i="1"/>
  <c r="BG16" i="1"/>
  <c r="AY16" i="1"/>
  <c r="AZ16" i="1"/>
  <c r="BB16" i="1"/>
  <c r="AT16" i="1"/>
  <c r="I55" i="1"/>
  <c r="AA53" i="1" s="1"/>
  <c r="AJ53" i="1" s="1"/>
  <c r="E55" i="1"/>
  <c r="AA49" i="1" s="1"/>
  <c r="AJ49" i="1" s="1"/>
  <c r="BL14" i="1"/>
  <c r="BU14" i="1" s="1"/>
  <c r="EB11" i="1" s="1"/>
  <c r="P55" i="1"/>
  <c r="AA60" i="1" s="1"/>
  <c r="AJ60" i="1" s="1"/>
  <c r="K55" i="1"/>
  <c r="AA55" i="1" s="1"/>
  <c r="AJ55" i="1" s="1"/>
  <c r="BD17" i="1"/>
  <c r="BO26" i="1" s="1"/>
  <c r="BX26" i="1" s="1"/>
  <c r="EN14" i="1" s="1"/>
  <c r="AV17" i="1"/>
  <c r="BO18" i="1" s="1"/>
  <c r="BX18" i="1" s="1"/>
  <c r="EF14" i="1" s="1"/>
  <c r="BE17" i="1"/>
  <c r="BO27" i="1" s="1"/>
  <c r="BX27" i="1" s="1"/>
  <c r="EO14" i="1" s="1"/>
  <c r="AW17" i="1"/>
  <c r="BO19" i="1" s="1"/>
  <c r="BX19" i="1" s="1"/>
  <c r="EG14" i="1" s="1"/>
  <c r="AT17" i="1"/>
  <c r="BO16" i="1" s="1"/>
  <c r="BX16" i="1" s="1"/>
  <c r="ED14" i="1" s="1"/>
  <c r="BF17" i="1"/>
  <c r="BO28" i="1" s="1"/>
  <c r="BX28" i="1" s="1"/>
  <c r="EP14" i="1" s="1"/>
  <c r="AX17" i="1"/>
  <c r="BO20" i="1" s="1"/>
  <c r="BX20" i="1" s="1"/>
  <c r="EH14" i="1" s="1"/>
  <c r="BB17" i="1"/>
  <c r="BO24" i="1" s="1"/>
  <c r="BX24" i="1" s="1"/>
  <c r="EL14" i="1" s="1"/>
  <c r="AZ17" i="1"/>
  <c r="BO22" i="1" s="1"/>
  <c r="BX22" i="1" s="1"/>
  <c r="EJ14" i="1" s="1"/>
  <c r="BA17" i="1"/>
  <c r="BO23" i="1" s="1"/>
  <c r="BX23" i="1" s="1"/>
  <c r="EK14" i="1" s="1"/>
  <c r="AS17" i="1"/>
  <c r="BO15" i="1" s="1"/>
  <c r="BX15" i="1" s="1"/>
  <c r="EC14" i="1" s="1"/>
  <c r="BC17" i="1"/>
  <c r="BO25" i="1" s="1"/>
  <c r="BX25" i="1" s="1"/>
  <c r="EM14" i="1" s="1"/>
  <c r="AU17" i="1"/>
  <c r="BO17" i="1" s="1"/>
  <c r="BX17" i="1" s="1"/>
  <c r="EE14" i="1" s="1"/>
  <c r="BG17" i="1"/>
  <c r="BO29" i="1" s="1"/>
  <c r="BX29" i="1" s="1"/>
  <c r="EQ14" i="1" s="1"/>
  <c r="AY17" i="1"/>
  <c r="BO21" i="1" s="1"/>
  <c r="BX21" i="1" s="1"/>
  <c r="EI14" i="1" s="1"/>
  <c r="H55" i="1"/>
  <c r="AA52" i="1" s="1"/>
  <c r="AJ52" i="1" s="1"/>
  <c r="Q55" i="1"/>
  <c r="AA61" i="1" s="1"/>
  <c r="AJ61" i="1" s="1"/>
  <c r="B55" i="1"/>
  <c r="AA46" i="1" s="1"/>
  <c r="AJ46" i="1" s="1"/>
  <c r="O55" i="1"/>
  <c r="AA59" i="1" s="1"/>
  <c r="AJ59" i="1" s="1"/>
  <c r="D55" i="1"/>
  <c r="AA48" i="1" s="1"/>
  <c r="AJ48" i="1" s="1"/>
  <c r="Z16" i="1"/>
  <c r="AG15" i="1" s="1"/>
  <c r="Z27" i="1"/>
  <c r="Y30" i="1"/>
  <c r="Y25" i="1"/>
  <c r="Z30" i="1"/>
  <c r="Z25" i="1"/>
  <c r="Z33" i="1" s="1"/>
  <c r="Y28" i="1"/>
  <c r="Z28" i="1"/>
  <c r="Y31" i="1"/>
  <c r="Y26" i="1"/>
  <c r="Z31" i="1"/>
  <c r="Y27" i="1"/>
  <c r="AB17" i="1"/>
  <c r="AF17" i="1" s="1"/>
  <c r="Z26" i="1"/>
  <c r="Y29" i="1"/>
  <c r="Z29" i="1"/>
  <c r="AR16" i="1"/>
  <c r="BN14" i="1" s="1"/>
  <c r="BW14" i="1" s="1"/>
  <c r="EB13" i="1" s="1"/>
  <c r="AF27" i="1"/>
  <c r="AR17" i="1"/>
  <c r="AG27" i="1"/>
  <c r="AG14" i="1"/>
  <c r="AH27" i="1"/>
  <c r="AE14" i="1"/>
  <c r="AF14" i="1"/>
  <c r="AE27" i="1"/>
  <c r="AA20" i="1"/>
  <c r="AA15" i="1"/>
  <c r="DP18" i="1"/>
  <c r="DQ18" i="1"/>
  <c r="DY18" i="1"/>
  <c r="DK18" i="1"/>
  <c r="DJ18" i="1"/>
  <c r="DL18" i="1"/>
  <c r="DM18" i="1"/>
  <c r="DR18" i="1"/>
  <c r="DO18" i="1"/>
  <c r="DN18" i="1"/>
  <c r="DW18" i="1"/>
  <c r="DX18" i="1"/>
  <c r="DU18" i="1"/>
  <c r="DS18" i="1"/>
  <c r="DT18" i="1"/>
  <c r="DV18" i="1"/>
  <c r="Y33" i="1" l="1"/>
  <c r="AE17" i="1"/>
  <c r="AG17" i="1"/>
  <c r="BF61" i="1"/>
  <c r="BA61" i="1"/>
  <c r="BE61" i="1"/>
  <c r="AT61" i="1"/>
  <c r="AV61" i="1"/>
  <c r="AY61" i="1"/>
  <c r="BB61" i="1"/>
  <c r="BD61" i="1"/>
  <c r="BC61" i="1"/>
  <c r="AQ61" i="1"/>
  <c r="AZ61" i="1"/>
  <c r="AR61" i="1"/>
  <c r="AU61" i="1"/>
  <c r="AS61" i="1"/>
  <c r="AW61" i="1"/>
  <c r="AL61" i="1"/>
  <c r="AM61" i="1" s="1"/>
  <c r="AX61" i="1"/>
  <c r="AZ56" i="1"/>
  <c r="AL56" i="1"/>
  <c r="AM56" i="1" s="1"/>
  <c r="BB56" i="1"/>
  <c r="BD56" i="1"/>
  <c r="BF56" i="1"/>
  <c r="AX56" i="1"/>
  <c r="BA56" i="1"/>
  <c r="BE56" i="1"/>
  <c r="AY56" i="1"/>
  <c r="AU56" i="1"/>
  <c r="BC56" i="1"/>
  <c r="AS56" i="1"/>
  <c r="AW56" i="1"/>
  <c r="AQ56" i="1"/>
  <c r="AR56" i="1"/>
  <c r="AT56" i="1"/>
  <c r="AV56" i="1"/>
  <c r="AU47" i="1"/>
  <c r="AX47" i="1"/>
  <c r="AL47" i="1"/>
  <c r="AM47" i="1" s="1"/>
  <c r="BC47" i="1"/>
  <c r="AQ47" i="1"/>
  <c r="AS47" i="1"/>
  <c r="AY47" i="1"/>
  <c r="BB47" i="1"/>
  <c r="BF47" i="1"/>
  <c r="BA47" i="1"/>
  <c r="BE47" i="1"/>
  <c r="AW47" i="1"/>
  <c r="AT47" i="1"/>
  <c r="AV47" i="1"/>
  <c r="AZ47" i="1"/>
  <c r="BD47" i="1"/>
  <c r="AR47" i="1"/>
  <c r="AQ49" i="1"/>
  <c r="BA49" i="1"/>
  <c r="BE49" i="1"/>
  <c r="AT49" i="1"/>
  <c r="AV49" i="1"/>
  <c r="BB49" i="1"/>
  <c r="BD49" i="1"/>
  <c r="AL49" i="1"/>
  <c r="AM49" i="1" s="1"/>
  <c r="BC49" i="1"/>
  <c r="AX49" i="1"/>
  <c r="BF49" i="1"/>
  <c r="AR49" i="1"/>
  <c r="AU49" i="1"/>
  <c r="AY49" i="1"/>
  <c r="AZ49" i="1"/>
  <c r="AS49" i="1"/>
  <c r="AW49" i="1"/>
  <c r="BB52" i="1"/>
  <c r="BD52" i="1"/>
  <c r="AR52" i="1"/>
  <c r="BF52" i="1"/>
  <c r="AL52" i="1"/>
  <c r="AM52" i="1" s="1"/>
  <c r="AZ52" i="1"/>
  <c r="AU52" i="1"/>
  <c r="BC52" i="1"/>
  <c r="AY52" i="1"/>
  <c r="BE52" i="1"/>
  <c r="AX52" i="1"/>
  <c r="AS52" i="1"/>
  <c r="AW52" i="1"/>
  <c r="BA52" i="1"/>
  <c r="AQ52" i="1"/>
  <c r="AT52" i="1"/>
  <c r="AV52" i="1"/>
  <c r="BC46" i="1"/>
  <c r="AX46" i="1"/>
  <c r="AS46" i="1"/>
  <c r="AL46" i="1"/>
  <c r="AM46" i="1" s="1"/>
  <c r="BA46" i="1"/>
  <c r="BF46" i="1"/>
  <c r="AY46" i="1"/>
  <c r="AZ46" i="1"/>
  <c r="AT46" i="1"/>
  <c r="AV46" i="1"/>
  <c r="AR46" i="1"/>
  <c r="BB46" i="1"/>
  <c r="BD46" i="1"/>
  <c r="AW46" i="1"/>
  <c r="AQ46" i="1"/>
  <c r="BE46" i="1"/>
  <c r="AU46" i="1"/>
  <c r="AZ59" i="1"/>
  <c r="AU59" i="1"/>
  <c r="AY59" i="1"/>
  <c r="BC59" i="1"/>
  <c r="AL59" i="1"/>
  <c r="AM59" i="1" s="1"/>
  <c r="BD59" i="1"/>
  <c r="BF59" i="1"/>
  <c r="AQ59" i="1"/>
  <c r="AR59" i="1"/>
  <c r="AS59" i="1"/>
  <c r="AW59" i="1"/>
  <c r="BA59" i="1"/>
  <c r="BE59" i="1"/>
  <c r="BB59" i="1"/>
  <c r="AT59" i="1"/>
  <c r="AV59" i="1"/>
  <c r="AX59" i="1"/>
  <c r="AY51" i="1"/>
  <c r="AZ51" i="1"/>
  <c r="AQ51" i="1"/>
  <c r="AU51" i="1"/>
  <c r="AL51" i="1"/>
  <c r="AM51" i="1" s="1"/>
  <c r="BF51" i="1"/>
  <c r="BC51" i="1"/>
  <c r="BB51" i="1"/>
  <c r="AS51" i="1"/>
  <c r="AW51" i="1"/>
  <c r="BA51" i="1"/>
  <c r="BE51" i="1"/>
  <c r="BD51" i="1"/>
  <c r="AT51" i="1"/>
  <c r="AV51" i="1"/>
  <c r="AX51" i="1"/>
  <c r="AR51" i="1"/>
  <c r="BB60" i="1"/>
  <c r="AR60" i="1"/>
  <c r="BD60" i="1"/>
  <c r="AQ60" i="1"/>
  <c r="AY60" i="1"/>
  <c r="AX60" i="1"/>
  <c r="BF60" i="1"/>
  <c r="AU60" i="1"/>
  <c r="AL60" i="1"/>
  <c r="AM60" i="1" s="1"/>
  <c r="BE60" i="1"/>
  <c r="AZ60" i="1"/>
  <c r="BC60" i="1"/>
  <c r="BA60" i="1"/>
  <c r="AS60" i="1"/>
  <c r="AW60" i="1"/>
  <c r="AT60" i="1"/>
  <c r="AV60" i="1"/>
  <c r="BA53" i="1"/>
  <c r="BE53" i="1"/>
  <c r="AT53" i="1"/>
  <c r="AV53" i="1"/>
  <c r="AY53" i="1"/>
  <c r="BB53" i="1"/>
  <c r="BD53" i="1"/>
  <c r="AQ53" i="1"/>
  <c r="AZ53" i="1"/>
  <c r="AU53" i="1"/>
  <c r="BC53" i="1"/>
  <c r="AL53" i="1"/>
  <c r="AM53" i="1" s="1"/>
  <c r="BF53" i="1"/>
  <c r="AS53" i="1"/>
  <c r="AR53" i="1"/>
  <c r="AW53" i="1"/>
  <c r="AX53" i="1"/>
  <c r="AY55" i="1"/>
  <c r="AQ55" i="1"/>
  <c r="AR55" i="1"/>
  <c r="AU55" i="1"/>
  <c r="AX55" i="1"/>
  <c r="BC55" i="1"/>
  <c r="AS55" i="1"/>
  <c r="AW55" i="1"/>
  <c r="BD55" i="1"/>
  <c r="BA55" i="1"/>
  <c r="BE55" i="1"/>
  <c r="BF55" i="1"/>
  <c r="AL55" i="1"/>
  <c r="AM55" i="1" s="1"/>
  <c r="AT55" i="1"/>
  <c r="AV55" i="1"/>
  <c r="BB55" i="1"/>
  <c r="AZ55" i="1"/>
  <c r="AZ57" i="1"/>
  <c r="BA57" i="1"/>
  <c r="BE57" i="1"/>
  <c r="AY57" i="1"/>
  <c r="AT57" i="1"/>
  <c r="AV57" i="1"/>
  <c r="AQ57" i="1"/>
  <c r="AR57" i="1"/>
  <c r="AL57" i="1"/>
  <c r="AM57" i="1" s="1"/>
  <c r="BB57" i="1"/>
  <c r="BD57" i="1"/>
  <c r="AX57" i="1"/>
  <c r="BC57" i="1"/>
  <c r="BF57" i="1"/>
  <c r="AU57" i="1"/>
  <c r="AS57" i="1"/>
  <c r="AW57" i="1"/>
  <c r="BC50" i="1"/>
  <c r="BF50" i="1"/>
  <c r="AS50" i="1"/>
  <c r="AW50" i="1"/>
  <c r="BA50" i="1"/>
  <c r="BE50" i="1"/>
  <c r="AQ50" i="1"/>
  <c r="AT50" i="1"/>
  <c r="AV50" i="1"/>
  <c r="BB50" i="1"/>
  <c r="BD50" i="1"/>
  <c r="AX50" i="1"/>
  <c r="AR50" i="1"/>
  <c r="AY50" i="1"/>
  <c r="AZ50" i="1"/>
  <c r="AL50" i="1"/>
  <c r="AM50" i="1" s="1"/>
  <c r="AU50" i="1"/>
  <c r="AQ58" i="1"/>
  <c r="AR58" i="1"/>
  <c r="BC58" i="1"/>
  <c r="AS58" i="1"/>
  <c r="AW58" i="1"/>
  <c r="BA58" i="1"/>
  <c r="BE58" i="1"/>
  <c r="AT58" i="1"/>
  <c r="AV58" i="1"/>
  <c r="AL58" i="1"/>
  <c r="AM58" i="1" s="1"/>
  <c r="BF58" i="1"/>
  <c r="AY58" i="1"/>
  <c r="AZ58" i="1"/>
  <c r="BB58" i="1"/>
  <c r="BD58" i="1"/>
  <c r="AX58" i="1"/>
  <c r="AU58" i="1"/>
  <c r="AZ54" i="1"/>
  <c r="BC54" i="1"/>
  <c r="AX54" i="1"/>
  <c r="AL54" i="1"/>
  <c r="AM54" i="1" s="1"/>
  <c r="AS54" i="1"/>
  <c r="AW54" i="1"/>
  <c r="AY54" i="1"/>
  <c r="BA54" i="1"/>
  <c r="BE54" i="1"/>
  <c r="AR54" i="1"/>
  <c r="AT54" i="1"/>
  <c r="AV54" i="1"/>
  <c r="BB54" i="1"/>
  <c r="BD54" i="1"/>
  <c r="BF54" i="1"/>
  <c r="AQ54" i="1"/>
  <c r="AU54" i="1"/>
  <c r="BB48" i="1"/>
  <c r="BD48" i="1"/>
  <c r="BF48" i="1"/>
  <c r="AX48" i="1"/>
  <c r="AU48" i="1"/>
  <c r="BA48" i="1"/>
  <c r="AR48" i="1"/>
  <c r="AY48" i="1"/>
  <c r="AZ48" i="1"/>
  <c r="BC48" i="1"/>
  <c r="AQ48" i="1"/>
  <c r="AS48" i="1"/>
  <c r="AW48" i="1"/>
  <c r="BE48" i="1"/>
  <c r="AL48" i="1"/>
  <c r="AM48" i="1" s="1"/>
  <c r="AT48" i="1"/>
  <c r="AV48" i="1"/>
  <c r="AF16" i="1"/>
  <c r="AE25" i="1"/>
  <c r="BN15" i="1"/>
  <c r="BW15" i="1" s="1"/>
  <c r="AS21" i="1"/>
  <c r="BN22" i="1"/>
  <c r="BW22" i="1" s="1"/>
  <c r="AZ21" i="1"/>
  <c r="BN26" i="1"/>
  <c r="BW26" i="1" s="1"/>
  <c r="BD21" i="1"/>
  <c r="BF21" i="1"/>
  <c r="BN28" i="1"/>
  <c r="BW28" i="1" s="1"/>
  <c r="EP13" i="1" s="1"/>
  <c r="BN17" i="1"/>
  <c r="BW17" i="1" s="1"/>
  <c r="AU21" i="1"/>
  <c r="BN23" i="1"/>
  <c r="BW23" i="1" s="1"/>
  <c r="BA21" i="1"/>
  <c r="BN19" i="1"/>
  <c r="BW19" i="1" s="1"/>
  <c r="AW21" i="1"/>
  <c r="BN25" i="1"/>
  <c r="BW25" i="1" s="1"/>
  <c r="BC21" i="1"/>
  <c r="BN29" i="1"/>
  <c r="BW29" i="1" s="1"/>
  <c r="BG21" i="1"/>
  <c r="BN27" i="1"/>
  <c r="BW27" i="1" s="1"/>
  <c r="BE21" i="1"/>
  <c r="BN21" i="1"/>
  <c r="BW21" i="1" s="1"/>
  <c r="AY21" i="1"/>
  <c r="BN16" i="1"/>
  <c r="BW16" i="1" s="1"/>
  <c r="AT21" i="1"/>
  <c r="BN20" i="1"/>
  <c r="BW20" i="1" s="1"/>
  <c r="AX21" i="1"/>
  <c r="AR21" i="1"/>
  <c r="BN24" i="1"/>
  <c r="BW24" i="1" s="1"/>
  <c r="BB21" i="1"/>
  <c r="BN18" i="1"/>
  <c r="BW18" i="1" s="1"/>
  <c r="AV21" i="1"/>
  <c r="AF15" i="1"/>
  <c r="AE15" i="1"/>
  <c r="AG26" i="1"/>
  <c r="AH25" i="1"/>
  <c r="AG25" i="1"/>
  <c r="AH26" i="1"/>
  <c r="AE26" i="1"/>
  <c r="AF26" i="1"/>
  <c r="AF25" i="1"/>
  <c r="BO14" i="1"/>
  <c r="BX14" i="1" s="1"/>
  <c r="EB14" i="1" s="1"/>
  <c r="AH14" i="1"/>
  <c r="AI27" i="1"/>
  <c r="AE16" i="1"/>
  <c r="AG16" i="1"/>
  <c r="EV95" i="1"/>
  <c r="EV159" i="1"/>
  <c r="EV223" i="1"/>
  <c r="EV116" i="1"/>
  <c r="EV180" i="1"/>
  <c r="EV244" i="1"/>
  <c r="EV137" i="1"/>
  <c r="EV201" i="1"/>
  <c r="EV94" i="1"/>
  <c r="EV158" i="1"/>
  <c r="EV222" i="1"/>
  <c r="EV107" i="1"/>
  <c r="EV171" i="1"/>
  <c r="EV235" i="1"/>
  <c r="EV120" i="1"/>
  <c r="EV184" i="1"/>
  <c r="EV248" i="1"/>
  <c r="EV146" i="1"/>
  <c r="EV210" i="1"/>
  <c r="EV253" i="1"/>
  <c r="EV117" i="1"/>
  <c r="EV245" i="1"/>
  <c r="EV141" i="1"/>
  <c r="EV268" i="1"/>
  <c r="EV42" i="1"/>
  <c r="EV69" i="1"/>
  <c r="EV52" i="1"/>
  <c r="EV32" i="1"/>
  <c r="EV51" i="1"/>
  <c r="EV55" i="1"/>
  <c r="EV30" i="1"/>
  <c r="EV41" i="1"/>
  <c r="EV251" i="1"/>
  <c r="EV162" i="1"/>
  <c r="EV237" i="1"/>
  <c r="EV53" i="1"/>
  <c r="EV78" i="1"/>
  <c r="EV143" i="1"/>
  <c r="EV249" i="1"/>
  <c r="EV168" i="1"/>
  <c r="EV267" i="1"/>
  <c r="EV44" i="1"/>
  <c r="EV103" i="1"/>
  <c r="EV167" i="1"/>
  <c r="EV231" i="1"/>
  <c r="EV124" i="1"/>
  <c r="EV188" i="1"/>
  <c r="EV252" i="1"/>
  <c r="EV145" i="1"/>
  <c r="EV209" i="1"/>
  <c r="EV102" i="1"/>
  <c r="EV166" i="1"/>
  <c r="EV230" i="1"/>
  <c r="EV115" i="1"/>
  <c r="EV179" i="1"/>
  <c r="EV243" i="1"/>
  <c r="EV128" i="1"/>
  <c r="EV192" i="1"/>
  <c r="EV90" i="1"/>
  <c r="EV154" i="1"/>
  <c r="EV218" i="1"/>
  <c r="EV270" i="1"/>
  <c r="EV133" i="1"/>
  <c r="EV157" i="1"/>
  <c r="EV261" i="1"/>
  <c r="EV125" i="1"/>
  <c r="EV34" i="1"/>
  <c r="EV61" i="1"/>
  <c r="EV71" i="1"/>
  <c r="EV24" i="1"/>
  <c r="EV43" i="1"/>
  <c r="EV31" i="1"/>
  <c r="EV22" i="1"/>
  <c r="EV33" i="1"/>
  <c r="EV187" i="1"/>
  <c r="EV226" i="1"/>
  <c r="EV271" i="1"/>
  <c r="EV80" i="1"/>
  <c r="EV79" i="1"/>
  <c r="EV164" i="1"/>
  <c r="EV91" i="1"/>
  <c r="EV130" i="1"/>
  <c r="EV58" i="1"/>
  <c r="EV57" i="1"/>
  <c r="EV111" i="1"/>
  <c r="EV175" i="1"/>
  <c r="EV239" i="1"/>
  <c r="EV132" i="1"/>
  <c r="EV196" i="1"/>
  <c r="EV89" i="1"/>
  <c r="EV153" i="1"/>
  <c r="EV217" i="1"/>
  <c r="EV110" i="1"/>
  <c r="EV174" i="1"/>
  <c r="EV238" i="1"/>
  <c r="EV123" i="1"/>
  <c r="EV136" i="1"/>
  <c r="EV98" i="1"/>
  <c r="EV149" i="1"/>
  <c r="EV26" i="1"/>
  <c r="EV35" i="1"/>
  <c r="EV121" i="1"/>
  <c r="EV104" i="1"/>
  <c r="EV85" i="1"/>
  <c r="EV48" i="1"/>
  <c r="EV119" i="1"/>
  <c r="EV183" i="1"/>
  <c r="EV247" i="1"/>
  <c r="EV140" i="1"/>
  <c r="EV204" i="1"/>
  <c r="EV97" i="1"/>
  <c r="EV161" i="1"/>
  <c r="EV225" i="1"/>
  <c r="EV118" i="1"/>
  <c r="EV182" i="1"/>
  <c r="EV246" i="1"/>
  <c r="EV131" i="1"/>
  <c r="EV195" i="1"/>
  <c r="EV259" i="1"/>
  <c r="EV144" i="1"/>
  <c r="EV208" i="1"/>
  <c r="EV106" i="1"/>
  <c r="EV170" i="1"/>
  <c r="EV234" i="1"/>
  <c r="EV260" i="1"/>
  <c r="EV165" i="1"/>
  <c r="EV256" i="1"/>
  <c r="EV189" i="1"/>
  <c r="EV82" i="1"/>
  <c r="EV18" i="1"/>
  <c r="EV45" i="1"/>
  <c r="EV72" i="1"/>
  <c r="EV23" i="1"/>
  <c r="EV27" i="1"/>
  <c r="EV70" i="1"/>
  <c r="EV81" i="1"/>
  <c r="EV17" i="1"/>
  <c r="EV60" i="1"/>
  <c r="EV65" i="1"/>
  <c r="EV207" i="1"/>
  <c r="EV142" i="1"/>
  <c r="EV232" i="1"/>
  <c r="EV257" i="1"/>
  <c r="EV46" i="1"/>
  <c r="EV127" i="1"/>
  <c r="EV191" i="1"/>
  <c r="EV84" i="1"/>
  <c r="EV148" i="1"/>
  <c r="EV212" i="1"/>
  <c r="EV105" i="1"/>
  <c r="EV169" i="1"/>
  <c r="EV233" i="1"/>
  <c r="EV126" i="1"/>
  <c r="EV190" i="1"/>
  <c r="EV254" i="1"/>
  <c r="EV139" i="1"/>
  <c r="EV203" i="1"/>
  <c r="EV88" i="1"/>
  <c r="EV152" i="1"/>
  <c r="EV216" i="1"/>
  <c r="EV114" i="1"/>
  <c r="EV178" i="1"/>
  <c r="EV242" i="1"/>
  <c r="EV93" i="1"/>
  <c r="EV181" i="1"/>
  <c r="EV263" i="1"/>
  <c r="EV109" i="1"/>
  <c r="EV74" i="1"/>
  <c r="EV36" i="1"/>
  <c r="EV37" i="1"/>
  <c r="EV64" i="1"/>
  <c r="EV83" i="1"/>
  <c r="EV19" i="1"/>
  <c r="EV62" i="1"/>
  <c r="EV73" i="1"/>
  <c r="EV68" i="1"/>
  <c r="EV75" i="1"/>
  <c r="EV20" i="1"/>
  <c r="EV100" i="1"/>
  <c r="EV206" i="1"/>
  <c r="EV194" i="1"/>
  <c r="EV47" i="1"/>
  <c r="EV135" i="1"/>
  <c r="EV199" i="1"/>
  <c r="EV92" i="1"/>
  <c r="EV156" i="1"/>
  <c r="EV220" i="1"/>
  <c r="EV113" i="1"/>
  <c r="EV177" i="1"/>
  <c r="EV241" i="1"/>
  <c r="EV134" i="1"/>
  <c r="EV198" i="1"/>
  <c r="EV262" i="1"/>
  <c r="EV147" i="1"/>
  <c r="EV211" i="1"/>
  <c r="EV96" i="1"/>
  <c r="EV160" i="1"/>
  <c r="EV224" i="1"/>
  <c r="EV122" i="1"/>
  <c r="EV186" i="1"/>
  <c r="EV250" i="1"/>
  <c r="EV221" i="1"/>
  <c r="EV197" i="1"/>
  <c r="EV265" i="1"/>
  <c r="EV255" i="1"/>
  <c r="EV66" i="1"/>
  <c r="EV63" i="1"/>
  <c r="EV29" i="1"/>
  <c r="EV56" i="1"/>
  <c r="EV54" i="1"/>
  <c r="EV228" i="1"/>
  <c r="EV155" i="1"/>
  <c r="EV213" i="1"/>
  <c r="EV67" i="1"/>
  <c r="EV87" i="1"/>
  <c r="EV151" i="1"/>
  <c r="EV215" i="1"/>
  <c r="EV108" i="1"/>
  <c r="EV172" i="1"/>
  <c r="EV236" i="1"/>
  <c r="EV129" i="1"/>
  <c r="EV193" i="1"/>
  <c r="EV86" i="1"/>
  <c r="EV150" i="1"/>
  <c r="EV214" i="1"/>
  <c r="EV99" i="1"/>
  <c r="EV163" i="1"/>
  <c r="EV227" i="1"/>
  <c r="EV112" i="1"/>
  <c r="EV176" i="1"/>
  <c r="EV240" i="1"/>
  <c r="EV138" i="1"/>
  <c r="EV202" i="1"/>
  <c r="EV266" i="1"/>
  <c r="EV101" i="1"/>
  <c r="EV229" i="1"/>
  <c r="EV269" i="1"/>
  <c r="EV264" i="1"/>
  <c r="EV50" i="1"/>
  <c r="EV77" i="1"/>
  <c r="EV76" i="1"/>
  <c r="EV40" i="1"/>
  <c r="EV59" i="1"/>
  <c r="EV28" i="1"/>
  <c r="EV38" i="1"/>
  <c r="EV49" i="1"/>
  <c r="EV200" i="1"/>
  <c r="EV173" i="1"/>
  <c r="EV205" i="1"/>
  <c r="EV39" i="1"/>
  <c r="EV25" i="1"/>
  <c r="EV185" i="1"/>
  <c r="EV219" i="1"/>
  <c r="EV258" i="1"/>
  <c r="EV21" i="1"/>
  <c r="EV16" i="1"/>
  <c r="DU19" i="1"/>
  <c r="DN19" i="1"/>
  <c r="DT19" i="1"/>
  <c r="DO19" i="1"/>
  <c r="DM19" i="1"/>
  <c r="DP19" i="1"/>
  <c r="DJ19" i="1"/>
  <c r="DL19" i="1"/>
  <c r="DS19" i="1"/>
  <c r="DK19" i="1"/>
  <c r="DR19" i="1"/>
  <c r="DY19" i="1"/>
  <c r="DX19" i="1"/>
  <c r="DQ19" i="1"/>
  <c r="DW19" i="1"/>
  <c r="DV19" i="1"/>
  <c r="EW95" i="1"/>
  <c r="EY95" i="1"/>
  <c r="EX95" i="1"/>
  <c r="EW159" i="1"/>
  <c r="EY159" i="1"/>
  <c r="EX159" i="1"/>
  <c r="EW223" i="1"/>
  <c r="EY223" i="1"/>
  <c r="EX223" i="1"/>
  <c r="EW116" i="1"/>
  <c r="EY116" i="1"/>
  <c r="EX116" i="1"/>
  <c r="EW180" i="1"/>
  <c r="EY180" i="1"/>
  <c r="EX180" i="1"/>
  <c r="EW244" i="1"/>
  <c r="EY244" i="1"/>
  <c r="EX244" i="1"/>
  <c r="EW137" i="1"/>
  <c r="EY137" i="1"/>
  <c r="EX137" i="1"/>
  <c r="EW201" i="1"/>
  <c r="EY201" i="1"/>
  <c r="EX201" i="1"/>
  <c r="EW94" i="1"/>
  <c r="EY94" i="1"/>
  <c r="EX94" i="1"/>
  <c r="EW158" i="1"/>
  <c r="EY158" i="1"/>
  <c r="EX158" i="1"/>
  <c r="EW222" i="1"/>
  <c r="EY222" i="1"/>
  <c r="EX222" i="1"/>
  <c r="EW107" i="1"/>
  <c r="EY107" i="1"/>
  <c r="EX107" i="1"/>
  <c r="EW171" i="1"/>
  <c r="EY171" i="1"/>
  <c r="EX171" i="1"/>
  <c r="EW235" i="1"/>
  <c r="EY235" i="1"/>
  <c r="EX235" i="1"/>
  <c r="EW120" i="1"/>
  <c r="EY120" i="1"/>
  <c r="EX120" i="1"/>
  <c r="EW184" i="1"/>
  <c r="EY184" i="1"/>
  <c r="EX184" i="1"/>
  <c r="EW248" i="1"/>
  <c r="EY248" i="1"/>
  <c r="EX248" i="1"/>
  <c r="EW146" i="1"/>
  <c r="EX146" i="1"/>
  <c r="EY146" i="1"/>
  <c r="EW210" i="1"/>
  <c r="EX210" i="1"/>
  <c r="EY210" i="1"/>
  <c r="EW253" i="1"/>
  <c r="EX253" i="1"/>
  <c r="EY253" i="1"/>
  <c r="EW117" i="1"/>
  <c r="EY117" i="1"/>
  <c r="EX117" i="1"/>
  <c r="EW245" i="1"/>
  <c r="EY245" i="1"/>
  <c r="EX245" i="1"/>
  <c r="EW141" i="1"/>
  <c r="EY141" i="1"/>
  <c r="EX141" i="1"/>
  <c r="EW268" i="1"/>
  <c r="EY268" i="1"/>
  <c r="EX268" i="1"/>
  <c r="EW42" i="1"/>
  <c r="EY42" i="1"/>
  <c r="EX42" i="1"/>
  <c r="EW69" i="1"/>
  <c r="EY69" i="1"/>
  <c r="EX69" i="1"/>
  <c r="EW52" i="1"/>
  <c r="EX52" i="1"/>
  <c r="EY52" i="1"/>
  <c r="EW32" i="1"/>
  <c r="EY32" i="1"/>
  <c r="EX32" i="1"/>
  <c r="EW51" i="1"/>
  <c r="EY51" i="1"/>
  <c r="EX51" i="1"/>
  <c r="EW55" i="1"/>
  <c r="EX55" i="1"/>
  <c r="EY55" i="1"/>
  <c r="EW30" i="1"/>
  <c r="EY30" i="1"/>
  <c r="EX30" i="1"/>
  <c r="EW41" i="1"/>
  <c r="EY41" i="1"/>
  <c r="EX41" i="1"/>
  <c r="EW251" i="1"/>
  <c r="EY251" i="1"/>
  <c r="EX251" i="1"/>
  <c r="EW162" i="1"/>
  <c r="EY162" i="1"/>
  <c r="EX162" i="1"/>
  <c r="EW237" i="1"/>
  <c r="EY237" i="1"/>
  <c r="EX237" i="1"/>
  <c r="EW53" i="1"/>
  <c r="EX53" i="1"/>
  <c r="EY53" i="1"/>
  <c r="EW78" i="1"/>
  <c r="EY78" i="1"/>
  <c r="EX78" i="1"/>
  <c r="EW143" i="1"/>
  <c r="EY143" i="1"/>
  <c r="EX143" i="1"/>
  <c r="EW249" i="1"/>
  <c r="EY249" i="1"/>
  <c r="EX249" i="1"/>
  <c r="EW168" i="1"/>
  <c r="EY168" i="1"/>
  <c r="EX168" i="1"/>
  <c r="EW267" i="1"/>
  <c r="EX267" i="1"/>
  <c r="EY267" i="1"/>
  <c r="EW44" i="1"/>
  <c r="EY44" i="1"/>
  <c r="EX44" i="1"/>
  <c r="EW103" i="1"/>
  <c r="EY103" i="1"/>
  <c r="EX103" i="1"/>
  <c r="EW167" i="1"/>
  <c r="EY167" i="1"/>
  <c r="EX167" i="1"/>
  <c r="EW231" i="1"/>
  <c r="EY231" i="1"/>
  <c r="EX231" i="1"/>
  <c r="EW124" i="1"/>
  <c r="EY124" i="1"/>
  <c r="EX124" i="1"/>
  <c r="EW188" i="1"/>
  <c r="EY188" i="1"/>
  <c r="EX188" i="1"/>
  <c r="EW252" i="1"/>
  <c r="EY252" i="1"/>
  <c r="EX252" i="1"/>
  <c r="EW145" i="1"/>
  <c r="EY145" i="1"/>
  <c r="EX145" i="1"/>
  <c r="EW209" i="1"/>
  <c r="EY209" i="1"/>
  <c r="EX209" i="1"/>
  <c r="EW102" i="1"/>
  <c r="EY102" i="1"/>
  <c r="EX102" i="1"/>
  <c r="EW166" i="1"/>
  <c r="EY166" i="1"/>
  <c r="EX166" i="1"/>
  <c r="EW230" i="1"/>
  <c r="EY230" i="1"/>
  <c r="EX230" i="1"/>
  <c r="EW115" i="1"/>
  <c r="EY115" i="1"/>
  <c r="EX115" i="1"/>
  <c r="EW179" i="1"/>
  <c r="EY179" i="1"/>
  <c r="EX179" i="1"/>
  <c r="EW243" i="1"/>
  <c r="EY243" i="1"/>
  <c r="EX243" i="1"/>
  <c r="EW128" i="1"/>
  <c r="EY128" i="1"/>
  <c r="EX128" i="1"/>
  <c r="EW192" i="1"/>
  <c r="EY192" i="1"/>
  <c r="EX192" i="1"/>
  <c r="EW90" i="1"/>
  <c r="EY90" i="1"/>
  <c r="EX90" i="1"/>
  <c r="EW154" i="1"/>
  <c r="EY154" i="1"/>
  <c r="EX154" i="1"/>
  <c r="EW218" i="1"/>
  <c r="EY218" i="1"/>
  <c r="EX218" i="1"/>
  <c r="EW270" i="1"/>
  <c r="EY270" i="1"/>
  <c r="EX270" i="1"/>
  <c r="EW133" i="1"/>
  <c r="EY133" i="1"/>
  <c r="EX133" i="1"/>
  <c r="EW157" i="1"/>
  <c r="EY157" i="1"/>
  <c r="EX157" i="1"/>
  <c r="EW261" i="1"/>
  <c r="EX261" i="1"/>
  <c r="EY261" i="1"/>
  <c r="EW125" i="1"/>
  <c r="EY125" i="1"/>
  <c r="EX125" i="1"/>
  <c r="EW34" i="1"/>
  <c r="EY34" i="1"/>
  <c r="EX34" i="1"/>
  <c r="EW61" i="1"/>
  <c r="EY61" i="1"/>
  <c r="EX61" i="1"/>
  <c r="EW71" i="1"/>
  <c r="EY71" i="1"/>
  <c r="EX71" i="1"/>
  <c r="EW24" i="1"/>
  <c r="EY24" i="1"/>
  <c r="EX24" i="1"/>
  <c r="EW43" i="1"/>
  <c r="EY43" i="1"/>
  <c r="EX43" i="1"/>
  <c r="EW31" i="1"/>
  <c r="EX31" i="1"/>
  <c r="EY31" i="1"/>
  <c r="EW22" i="1"/>
  <c r="EY22" i="1"/>
  <c r="EX22" i="1"/>
  <c r="EW33" i="1"/>
  <c r="EY33" i="1"/>
  <c r="EX33" i="1"/>
  <c r="EW187" i="1"/>
  <c r="EY187" i="1"/>
  <c r="EX187" i="1"/>
  <c r="EW226" i="1"/>
  <c r="EY226" i="1"/>
  <c r="EX226" i="1"/>
  <c r="EW271" i="1"/>
  <c r="EX271" i="1"/>
  <c r="EY271" i="1"/>
  <c r="EW80" i="1"/>
  <c r="EY80" i="1"/>
  <c r="EX80" i="1"/>
  <c r="EW79" i="1"/>
  <c r="EY79" i="1"/>
  <c r="EX79" i="1"/>
  <c r="EW164" i="1"/>
  <c r="EY164" i="1"/>
  <c r="EX164" i="1"/>
  <c r="EW91" i="1"/>
  <c r="EY91" i="1"/>
  <c r="EX91" i="1"/>
  <c r="EW130" i="1"/>
  <c r="EY130" i="1"/>
  <c r="EX130" i="1"/>
  <c r="EW58" i="1"/>
  <c r="EX58" i="1"/>
  <c r="EY58" i="1"/>
  <c r="EW57" i="1"/>
  <c r="EY57" i="1"/>
  <c r="EX57" i="1"/>
  <c r="EW111" i="1"/>
  <c r="EY111" i="1"/>
  <c r="EX111" i="1"/>
  <c r="EW175" i="1"/>
  <c r="EY175" i="1"/>
  <c r="EX175" i="1"/>
  <c r="EW239" i="1"/>
  <c r="EY239" i="1"/>
  <c r="EX239" i="1"/>
  <c r="EW132" i="1"/>
  <c r="EY132" i="1"/>
  <c r="EX132" i="1"/>
  <c r="EW196" i="1"/>
  <c r="EY196" i="1"/>
  <c r="EX196" i="1"/>
  <c r="EW89" i="1"/>
  <c r="EY89" i="1"/>
  <c r="EX89" i="1"/>
  <c r="EW153" i="1"/>
  <c r="EY153" i="1"/>
  <c r="EX153" i="1"/>
  <c r="EW217" i="1"/>
  <c r="EY217" i="1"/>
  <c r="EX217" i="1"/>
  <c r="EW110" i="1"/>
  <c r="EY110" i="1"/>
  <c r="EX110" i="1"/>
  <c r="EW174" i="1"/>
  <c r="EY174" i="1"/>
  <c r="EX174" i="1"/>
  <c r="EW238" i="1"/>
  <c r="EY238" i="1"/>
  <c r="EX238" i="1"/>
  <c r="EW123" i="1"/>
  <c r="EY123" i="1"/>
  <c r="EX123" i="1"/>
  <c r="EW136" i="1"/>
  <c r="EY136" i="1"/>
  <c r="EX136" i="1"/>
  <c r="EW98" i="1"/>
  <c r="EY98" i="1"/>
  <c r="EX98" i="1"/>
  <c r="EW149" i="1"/>
  <c r="EY149" i="1"/>
  <c r="EX149" i="1"/>
  <c r="EW26" i="1"/>
  <c r="EY26" i="1"/>
  <c r="EX26" i="1"/>
  <c r="EW35" i="1"/>
  <c r="EY35" i="1"/>
  <c r="EX35" i="1"/>
  <c r="EW121" i="1"/>
  <c r="EY121" i="1"/>
  <c r="EX121" i="1"/>
  <c r="EW104" i="1"/>
  <c r="EY104" i="1"/>
  <c r="EX104" i="1"/>
  <c r="EW85" i="1"/>
  <c r="EY85" i="1"/>
  <c r="EX85" i="1"/>
  <c r="EW48" i="1"/>
  <c r="EY48" i="1"/>
  <c r="EX48" i="1"/>
  <c r="EW119" i="1"/>
  <c r="EX119" i="1"/>
  <c r="EY119" i="1"/>
  <c r="EW183" i="1"/>
  <c r="EY183" i="1"/>
  <c r="EX183" i="1"/>
  <c r="EW247" i="1"/>
  <c r="EY247" i="1"/>
  <c r="EX247" i="1"/>
  <c r="EW140" i="1"/>
  <c r="EX140" i="1"/>
  <c r="EY140" i="1"/>
  <c r="EW204" i="1"/>
  <c r="EY204" i="1"/>
  <c r="EX204" i="1"/>
  <c r="EW97" i="1"/>
  <c r="EX97" i="1"/>
  <c r="EY97" i="1"/>
  <c r="EW161" i="1"/>
  <c r="EX161" i="1"/>
  <c r="EY161" i="1"/>
  <c r="EW225" i="1"/>
  <c r="EX225" i="1"/>
  <c r="EY225" i="1"/>
  <c r="EW118" i="1"/>
  <c r="EX118" i="1"/>
  <c r="EY118" i="1"/>
  <c r="EW182" i="1"/>
  <c r="EY182" i="1"/>
  <c r="EX182" i="1"/>
  <c r="EW246" i="1"/>
  <c r="EX246" i="1"/>
  <c r="EY246" i="1"/>
  <c r="EW131" i="1"/>
  <c r="EY131" i="1"/>
  <c r="EX131" i="1"/>
  <c r="EW195" i="1"/>
  <c r="EX195" i="1"/>
  <c r="EY195" i="1"/>
  <c r="EW259" i="1"/>
  <c r="EX259" i="1"/>
  <c r="EY259" i="1"/>
  <c r="EW144" i="1"/>
  <c r="EY144" i="1"/>
  <c r="EX144" i="1"/>
  <c r="EW208" i="1"/>
  <c r="EY208" i="1"/>
  <c r="EX208" i="1"/>
  <c r="EW106" i="1"/>
  <c r="EX106" i="1"/>
  <c r="EY106" i="1"/>
  <c r="EW170" i="1"/>
  <c r="EX170" i="1"/>
  <c r="EY170" i="1"/>
  <c r="EW234" i="1"/>
  <c r="EX234" i="1"/>
  <c r="EY234" i="1"/>
  <c r="EW260" i="1"/>
  <c r="EY260" i="1"/>
  <c r="EX260" i="1"/>
  <c r="EW165" i="1"/>
  <c r="EY165" i="1"/>
  <c r="EX165" i="1"/>
  <c r="EW256" i="1"/>
  <c r="EX256" i="1"/>
  <c r="EY256" i="1"/>
  <c r="EW189" i="1"/>
  <c r="EX189" i="1"/>
  <c r="EY189" i="1"/>
  <c r="EW82" i="1"/>
  <c r="EY82" i="1"/>
  <c r="EX82" i="1"/>
  <c r="EW18" i="1"/>
  <c r="EY18" i="1"/>
  <c r="EX18" i="1"/>
  <c r="EW45" i="1"/>
  <c r="EX45" i="1"/>
  <c r="EY45" i="1"/>
  <c r="EW72" i="1"/>
  <c r="EY72" i="1"/>
  <c r="EX72" i="1"/>
  <c r="EW23" i="1"/>
  <c r="EY23" i="1"/>
  <c r="EX23" i="1"/>
  <c r="EW27" i="1"/>
  <c r="EY27" i="1"/>
  <c r="EX27" i="1"/>
  <c r="EW70" i="1"/>
  <c r="EY70" i="1"/>
  <c r="EX70" i="1"/>
  <c r="EW81" i="1"/>
  <c r="EY81" i="1"/>
  <c r="EX81" i="1"/>
  <c r="EW17" i="1"/>
  <c r="EY17" i="1"/>
  <c r="EX17" i="1"/>
  <c r="EW60" i="1"/>
  <c r="EY60" i="1"/>
  <c r="EX60" i="1"/>
  <c r="EW65" i="1"/>
  <c r="EY65" i="1"/>
  <c r="EX65" i="1"/>
  <c r="EW207" i="1"/>
  <c r="EY207" i="1"/>
  <c r="EX207" i="1"/>
  <c r="EW142" i="1"/>
  <c r="EY142" i="1"/>
  <c r="EX142" i="1"/>
  <c r="EW232" i="1"/>
  <c r="EY232" i="1"/>
  <c r="EX232" i="1"/>
  <c r="EW257" i="1"/>
  <c r="EX257" i="1"/>
  <c r="EY257" i="1"/>
  <c r="EW46" i="1"/>
  <c r="EY46" i="1"/>
  <c r="EX46" i="1"/>
  <c r="EW127" i="1"/>
  <c r="EY127" i="1"/>
  <c r="EX127" i="1"/>
  <c r="EW191" i="1"/>
  <c r="EY191" i="1"/>
  <c r="EX191" i="1"/>
  <c r="EW84" i="1"/>
  <c r="EY84" i="1"/>
  <c r="EX84" i="1"/>
  <c r="EW148" i="1"/>
  <c r="EY148" i="1"/>
  <c r="EX148" i="1"/>
  <c r="EW212" i="1"/>
  <c r="EY212" i="1"/>
  <c r="EX212" i="1"/>
  <c r="EW105" i="1"/>
  <c r="EY105" i="1"/>
  <c r="EX105" i="1"/>
  <c r="EW169" i="1"/>
  <c r="EY169" i="1"/>
  <c r="EX169" i="1"/>
  <c r="EW233" i="1"/>
  <c r="EY233" i="1"/>
  <c r="EX233" i="1"/>
  <c r="EW126" i="1"/>
  <c r="EY126" i="1"/>
  <c r="EX126" i="1"/>
  <c r="EW190" i="1"/>
  <c r="EY190" i="1"/>
  <c r="EX190" i="1"/>
  <c r="EW254" i="1"/>
  <c r="EY254" i="1"/>
  <c r="EX254" i="1"/>
  <c r="EW139" i="1"/>
  <c r="EY139" i="1"/>
  <c r="EX139" i="1"/>
  <c r="EW203" i="1"/>
  <c r="EY203" i="1"/>
  <c r="EX203" i="1"/>
  <c r="EW88" i="1"/>
  <c r="EY88" i="1"/>
  <c r="EX88" i="1"/>
  <c r="EW152" i="1"/>
  <c r="EY152" i="1"/>
  <c r="EX152" i="1"/>
  <c r="EW216" i="1"/>
  <c r="EY216" i="1"/>
  <c r="EX216" i="1"/>
  <c r="EW114" i="1"/>
  <c r="EX114" i="1"/>
  <c r="EY114" i="1"/>
  <c r="EW178" i="1"/>
  <c r="EX178" i="1"/>
  <c r="EY178" i="1"/>
  <c r="EW242" i="1"/>
  <c r="EX242" i="1"/>
  <c r="EY242" i="1"/>
  <c r="EW93" i="1"/>
  <c r="EY93" i="1"/>
  <c r="EX93" i="1"/>
  <c r="EW181" i="1"/>
  <c r="EY181" i="1"/>
  <c r="EX181" i="1"/>
  <c r="EW263" i="1"/>
  <c r="EY263" i="1"/>
  <c r="EX263" i="1"/>
  <c r="EW109" i="1"/>
  <c r="EY109" i="1"/>
  <c r="EX109" i="1"/>
  <c r="EW74" i="1"/>
  <c r="EY74" i="1"/>
  <c r="EX74" i="1"/>
  <c r="EW36" i="1"/>
  <c r="EY36" i="1"/>
  <c r="EX36" i="1"/>
  <c r="EW37" i="1"/>
  <c r="EY37" i="1"/>
  <c r="EX37" i="1"/>
  <c r="EW64" i="1"/>
  <c r="EY64" i="1"/>
  <c r="EX64" i="1"/>
  <c r="EW83" i="1"/>
  <c r="EY83" i="1"/>
  <c r="EX83" i="1"/>
  <c r="EW19" i="1"/>
  <c r="EY19" i="1"/>
  <c r="EX19" i="1"/>
  <c r="EW62" i="1"/>
  <c r="EY62" i="1"/>
  <c r="EX62" i="1"/>
  <c r="EW73" i="1"/>
  <c r="EY73" i="1"/>
  <c r="EX73" i="1"/>
  <c r="EW68" i="1"/>
  <c r="EY68" i="1"/>
  <c r="EX68" i="1"/>
  <c r="EW75" i="1"/>
  <c r="EY75" i="1"/>
  <c r="EX75" i="1"/>
  <c r="EW20" i="1"/>
  <c r="EY20" i="1"/>
  <c r="EX20" i="1"/>
  <c r="EW100" i="1"/>
  <c r="EY100" i="1"/>
  <c r="EX100" i="1"/>
  <c r="EW206" i="1"/>
  <c r="EY206" i="1"/>
  <c r="EX206" i="1"/>
  <c r="EW194" i="1"/>
  <c r="EY194" i="1"/>
  <c r="EX194" i="1"/>
  <c r="EW47" i="1"/>
  <c r="EY47" i="1"/>
  <c r="EX47" i="1"/>
  <c r="EW135" i="1"/>
  <c r="EY135" i="1"/>
  <c r="EX135" i="1"/>
  <c r="EW199" i="1"/>
  <c r="EY199" i="1"/>
  <c r="EX199" i="1"/>
  <c r="EW92" i="1"/>
  <c r="EY92" i="1"/>
  <c r="EX92" i="1"/>
  <c r="EW156" i="1"/>
  <c r="EY156" i="1"/>
  <c r="EX156" i="1"/>
  <c r="EW220" i="1"/>
  <c r="EY220" i="1"/>
  <c r="EX220" i="1"/>
  <c r="EW113" i="1"/>
  <c r="EY113" i="1"/>
  <c r="EX113" i="1"/>
  <c r="EW177" i="1"/>
  <c r="EY177" i="1"/>
  <c r="EX177" i="1"/>
  <c r="EW241" i="1"/>
  <c r="EY241" i="1"/>
  <c r="EX241" i="1"/>
  <c r="EW134" i="1"/>
  <c r="EY134" i="1"/>
  <c r="EX134" i="1"/>
  <c r="EW198" i="1"/>
  <c r="EY198" i="1"/>
  <c r="EX198" i="1"/>
  <c r="EW262" i="1"/>
  <c r="EY262" i="1"/>
  <c r="EX262" i="1"/>
  <c r="EW147" i="1"/>
  <c r="EY147" i="1"/>
  <c r="EX147" i="1"/>
  <c r="EW211" i="1"/>
  <c r="EY211" i="1"/>
  <c r="EX211" i="1"/>
  <c r="EW96" i="1"/>
  <c r="EY96" i="1"/>
  <c r="EX96" i="1"/>
  <c r="EW160" i="1"/>
  <c r="EY160" i="1"/>
  <c r="EX160" i="1"/>
  <c r="EW224" i="1"/>
  <c r="EY224" i="1"/>
  <c r="EX224" i="1"/>
  <c r="EW122" i="1"/>
  <c r="EY122" i="1"/>
  <c r="EX122" i="1"/>
  <c r="EW186" i="1"/>
  <c r="EY186" i="1"/>
  <c r="EX186" i="1"/>
  <c r="EW250" i="1"/>
  <c r="EY250" i="1"/>
  <c r="EX250" i="1"/>
  <c r="EW221" i="1"/>
  <c r="EY221" i="1"/>
  <c r="EX221" i="1"/>
  <c r="EW197" i="1"/>
  <c r="EY197" i="1"/>
  <c r="EX197" i="1"/>
  <c r="EW265" i="1"/>
  <c r="EX265" i="1"/>
  <c r="EY265" i="1"/>
  <c r="EW255" i="1"/>
  <c r="EX255" i="1"/>
  <c r="EY255" i="1"/>
  <c r="EW66" i="1"/>
  <c r="EY66" i="1"/>
  <c r="EX66" i="1"/>
  <c r="EW63" i="1"/>
  <c r="EY63" i="1"/>
  <c r="EX63" i="1"/>
  <c r="EW29" i="1"/>
  <c r="EY29" i="1"/>
  <c r="EX29" i="1"/>
  <c r="EW56" i="1"/>
  <c r="EY56" i="1"/>
  <c r="EX56" i="1"/>
  <c r="EW54" i="1"/>
  <c r="EY54" i="1"/>
  <c r="EX54" i="1"/>
  <c r="EW228" i="1"/>
  <c r="EY228" i="1"/>
  <c r="EX228" i="1"/>
  <c r="EW155" i="1"/>
  <c r="EY155" i="1"/>
  <c r="EX155" i="1"/>
  <c r="EW213" i="1"/>
  <c r="EY213" i="1"/>
  <c r="EX213" i="1"/>
  <c r="EW67" i="1"/>
  <c r="EY67" i="1"/>
  <c r="EX67" i="1"/>
  <c r="EW87" i="1"/>
  <c r="EX87" i="1"/>
  <c r="EY87" i="1"/>
  <c r="EW151" i="1"/>
  <c r="EY151" i="1"/>
  <c r="EX151" i="1"/>
  <c r="EW215" i="1"/>
  <c r="EY215" i="1"/>
  <c r="EX215" i="1"/>
  <c r="EW108" i="1"/>
  <c r="EY108" i="1"/>
  <c r="EX108" i="1"/>
  <c r="EW172" i="1"/>
  <c r="EY172" i="1"/>
  <c r="EX172" i="1"/>
  <c r="EW236" i="1"/>
  <c r="EY236" i="1"/>
  <c r="EX236" i="1"/>
  <c r="EW129" i="1"/>
  <c r="EX129" i="1"/>
  <c r="EY129" i="1"/>
  <c r="EW193" i="1"/>
  <c r="EX193" i="1"/>
  <c r="EY193" i="1"/>
  <c r="EW86" i="1"/>
  <c r="EX86" i="1"/>
  <c r="EY86" i="1"/>
  <c r="EW150" i="1"/>
  <c r="EX150" i="1"/>
  <c r="EY150" i="1"/>
  <c r="EW214" i="1"/>
  <c r="EX214" i="1"/>
  <c r="EY214" i="1"/>
  <c r="EW99" i="1"/>
  <c r="EY99" i="1"/>
  <c r="EX99" i="1"/>
  <c r="EW163" i="1"/>
  <c r="EY163" i="1"/>
  <c r="EX163" i="1"/>
  <c r="EW227" i="1"/>
  <c r="EX227" i="1"/>
  <c r="EY227" i="1"/>
  <c r="EW112" i="1"/>
  <c r="EY112" i="1"/>
  <c r="EX112" i="1"/>
  <c r="EW176" i="1"/>
  <c r="EY176" i="1"/>
  <c r="EX176" i="1"/>
  <c r="EW240" i="1"/>
  <c r="EY240" i="1"/>
  <c r="EX240" i="1"/>
  <c r="EW138" i="1"/>
  <c r="EX138" i="1"/>
  <c r="EY138" i="1"/>
  <c r="EW202" i="1"/>
  <c r="EX202" i="1"/>
  <c r="EY202" i="1"/>
  <c r="EW266" i="1"/>
  <c r="EX266" i="1"/>
  <c r="EY266" i="1"/>
  <c r="EW101" i="1"/>
  <c r="EY101" i="1"/>
  <c r="EX101" i="1"/>
  <c r="EW229" i="1"/>
  <c r="EX229" i="1"/>
  <c r="EY229" i="1"/>
  <c r="EW269" i="1"/>
  <c r="EX269" i="1"/>
  <c r="EY269" i="1"/>
  <c r="EW264" i="1"/>
  <c r="EX264" i="1"/>
  <c r="EY264" i="1"/>
  <c r="EW50" i="1"/>
  <c r="EY50" i="1"/>
  <c r="EX50" i="1"/>
  <c r="EW77" i="1"/>
  <c r="EX77" i="1"/>
  <c r="EY77" i="1"/>
  <c r="EW76" i="1"/>
  <c r="EY76" i="1"/>
  <c r="EX76" i="1"/>
  <c r="EW40" i="1"/>
  <c r="EY40" i="1"/>
  <c r="EX40" i="1"/>
  <c r="EW59" i="1"/>
  <c r="EY59" i="1"/>
  <c r="EX59" i="1"/>
  <c r="EW28" i="1"/>
  <c r="EY28" i="1"/>
  <c r="EX28" i="1"/>
  <c r="EW38" i="1"/>
  <c r="EY38" i="1"/>
  <c r="EX38" i="1"/>
  <c r="EW49" i="1"/>
  <c r="EY49" i="1"/>
  <c r="EX49" i="1"/>
  <c r="EW200" i="1"/>
  <c r="EY200" i="1"/>
  <c r="EX200" i="1"/>
  <c r="EW173" i="1"/>
  <c r="EY173" i="1"/>
  <c r="EX173" i="1"/>
  <c r="EW205" i="1"/>
  <c r="EY205" i="1"/>
  <c r="EX205" i="1"/>
  <c r="EW39" i="1"/>
  <c r="EY39" i="1"/>
  <c r="EX39" i="1"/>
  <c r="EW25" i="1"/>
  <c r="EY25" i="1"/>
  <c r="EX25" i="1"/>
  <c r="EW185" i="1"/>
  <c r="EY185" i="1"/>
  <c r="EX185" i="1"/>
  <c r="EW219" i="1"/>
  <c r="EY219" i="1"/>
  <c r="EX219" i="1"/>
  <c r="EW258" i="1"/>
  <c r="EY258" i="1"/>
  <c r="EX258" i="1"/>
  <c r="EW21" i="1"/>
  <c r="EY21" i="1"/>
  <c r="EX21" i="1"/>
  <c r="EW16" i="1"/>
  <c r="EY16" i="1" s="1"/>
  <c r="EX16" i="1"/>
  <c r="FB19" i="1" l="1"/>
  <c r="FB22" i="1"/>
  <c r="FB29" i="1"/>
  <c r="FB27" i="1"/>
  <c r="FB21" i="1"/>
  <c r="FB24" i="1"/>
  <c r="FB28" i="1"/>
  <c r="FB18" i="1"/>
  <c r="FB25" i="1"/>
  <c r="FB30" i="1"/>
  <c r="FB26" i="1"/>
  <c r="FB17" i="1"/>
  <c r="FB31" i="1"/>
  <c r="FB16" i="1"/>
  <c r="FB32" i="1"/>
  <c r="FB20" i="1"/>
  <c r="FB23" i="1"/>
  <c r="CQ15" i="1"/>
  <c r="EI13" i="1"/>
  <c r="CO15" i="1"/>
  <c r="EG13" i="1"/>
  <c r="CV15" i="1"/>
  <c r="EN13" i="1"/>
  <c r="CT14" i="1"/>
  <c r="EL13" i="1"/>
  <c r="CY14" i="1"/>
  <c r="EQ13" i="1"/>
  <c r="CM14" i="1"/>
  <c r="EE13" i="1"/>
  <c r="CK15" i="1"/>
  <c r="EC13" i="1"/>
  <c r="CN15" i="1"/>
  <c r="EF13" i="1"/>
  <c r="CW15" i="1"/>
  <c r="EO13" i="1"/>
  <c r="CS14" i="1"/>
  <c r="EK13" i="1"/>
  <c r="CR14" i="1"/>
  <c r="EJ13" i="1"/>
  <c r="CP15" i="1"/>
  <c r="EH13" i="1"/>
  <c r="CL14" i="1"/>
  <c r="ED13" i="1"/>
  <c r="CU14" i="1"/>
  <c r="EM13" i="1"/>
  <c r="CC14" i="1"/>
  <c r="EB19" i="1" s="1"/>
  <c r="BS27" i="1"/>
  <c r="CB27" i="1" s="1"/>
  <c r="EO18" i="1" s="1"/>
  <c r="BE22" i="1"/>
  <c r="BS23" i="1"/>
  <c r="CB23" i="1" s="1"/>
  <c r="EK18" i="1" s="1"/>
  <c r="BA22" i="1"/>
  <c r="BS22" i="1"/>
  <c r="CB22" i="1" s="1"/>
  <c r="EJ18" i="1" s="1"/>
  <c r="AZ22" i="1"/>
  <c r="BS20" i="1"/>
  <c r="CB20" i="1" s="1"/>
  <c r="EH18" i="1" s="1"/>
  <c r="AX22" i="1"/>
  <c r="BS29" i="1"/>
  <c r="CB29" i="1" s="1"/>
  <c r="EQ18" i="1" s="1"/>
  <c r="BG22" i="1"/>
  <c r="BS17" i="1"/>
  <c r="CB17" i="1" s="1"/>
  <c r="EE18" i="1" s="1"/>
  <c r="AU22" i="1"/>
  <c r="BS15" i="1"/>
  <c r="CB15" i="1" s="1"/>
  <c r="EC18" i="1" s="1"/>
  <c r="AS22" i="1"/>
  <c r="BS14" i="1"/>
  <c r="CB14" i="1" s="1"/>
  <c r="EB18" i="1" s="1"/>
  <c r="AR22" i="1"/>
  <c r="BS16" i="1"/>
  <c r="CB16" i="1" s="1"/>
  <c r="ED18" i="1" s="1"/>
  <c r="AT22" i="1"/>
  <c r="BS25" i="1"/>
  <c r="CB25" i="1" s="1"/>
  <c r="EM18" i="1" s="1"/>
  <c r="BC22" i="1"/>
  <c r="BS18" i="1"/>
  <c r="CB18" i="1" s="1"/>
  <c r="EF18" i="1" s="1"/>
  <c r="AV22" i="1"/>
  <c r="BS28" i="1"/>
  <c r="CB28" i="1" s="1"/>
  <c r="EP18" i="1" s="1"/>
  <c r="BF22" i="1"/>
  <c r="BS21" i="1"/>
  <c r="CB21" i="1" s="1"/>
  <c r="EI18" i="1" s="1"/>
  <c r="AY22" i="1"/>
  <c r="BS19" i="1"/>
  <c r="CB19" i="1" s="1"/>
  <c r="EG18" i="1" s="1"/>
  <c r="AW22" i="1"/>
  <c r="BS26" i="1"/>
  <c r="CB26" i="1" s="1"/>
  <c r="EN18" i="1" s="1"/>
  <c r="BD22" i="1"/>
  <c r="BS24" i="1"/>
  <c r="CB24" i="1" s="1"/>
  <c r="EL18" i="1" s="1"/>
  <c r="BB22" i="1"/>
  <c r="AG18" i="1"/>
  <c r="AH17" i="1"/>
  <c r="AE28" i="1"/>
  <c r="AF18" i="1"/>
  <c r="CM15" i="1"/>
  <c r="CK14" i="1"/>
  <c r="CQ14" i="1"/>
  <c r="CR15" i="1"/>
  <c r="CO14" i="1"/>
  <c r="CV14" i="1"/>
  <c r="CS15" i="1"/>
  <c r="CE16" i="1"/>
  <c r="CL16" i="1"/>
  <c r="CE19" i="1"/>
  <c r="CO16" i="1"/>
  <c r="CE26" i="1"/>
  <c r="CV16" i="1"/>
  <c r="CE25" i="1"/>
  <c r="CU16" i="1"/>
  <c r="CE18" i="1"/>
  <c r="CN16" i="1"/>
  <c r="CP14" i="1"/>
  <c r="CY15" i="1"/>
  <c r="CE28" i="1"/>
  <c r="CX16" i="1"/>
  <c r="CE21" i="1"/>
  <c r="CQ16" i="1"/>
  <c r="CX14" i="1"/>
  <c r="CL15" i="1"/>
  <c r="CE23" i="1"/>
  <c r="CS16" i="1"/>
  <c r="CE22" i="1"/>
  <c r="CR16" i="1"/>
  <c r="CE29" i="1"/>
  <c r="CY16" i="1"/>
  <c r="CN14" i="1"/>
  <c r="CX15" i="1"/>
  <c r="CU15" i="1"/>
  <c r="CE20" i="1"/>
  <c r="CP16" i="1"/>
  <c r="CE24" i="1"/>
  <c r="CT16" i="1"/>
  <c r="CE27" i="1"/>
  <c r="CW16" i="1"/>
  <c r="CW14" i="1"/>
  <c r="CT15" i="1"/>
  <c r="CE17" i="1"/>
  <c r="CM16" i="1"/>
  <c r="CE15" i="1"/>
  <c r="CK16" i="1"/>
  <c r="CJ16" i="1"/>
  <c r="AH15" i="1"/>
  <c r="AI25" i="1"/>
  <c r="AH28" i="1"/>
  <c r="AG28" i="1"/>
  <c r="AF28" i="1"/>
  <c r="AI26" i="1"/>
  <c r="CJ14" i="1"/>
  <c r="CE14" i="1"/>
  <c r="CJ15" i="1"/>
  <c r="AH16" i="1"/>
  <c r="AE18" i="1"/>
  <c r="EB20" i="1"/>
  <c r="FB33" i="1" l="1"/>
  <c r="CC22" i="1"/>
  <c r="EJ19" i="1" s="1"/>
  <c r="CC28" i="1"/>
  <c r="EP19" i="1" s="1"/>
  <c r="CC18" i="1"/>
  <c r="EF19" i="1" s="1"/>
  <c r="CC29" i="1"/>
  <c r="EQ19" i="1" s="1"/>
  <c r="CC23" i="1"/>
  <c r="EK19" i="1" s="1"/>
  <c r="CC25" i="1"/>
  <c r="EM19" i="1" s="1"/>
  <c r="CC17" i="1"/>
  <c r="EE19" i="1" s="1"/>
  <c r="CC15" i="1"/>
  <c r="EC19" i="1" s="1"/>
  <c r="CC21" i="1"/>
  <c r="EI19" i="1" s="1"/>
  <c r="CC16" i="1"/>
  <c r="ED19" i="1" s="1"/>
  <c r="CC26" i="1"/>
  <c r="EN19" i="1" s="1"/>
  <c r="CC20" i="1"/>
  <c r="EH19" i="1" s="1"/>
  <c r="CC19" i="1"/>
  <c r="EG19" i="1" s="1"/>
  <c r="CC24" i="1"/>
  <c r="EL19" i="1" s="1"/>
  <c r="CC27" i="1"/>
  <c r="EO19" i="1" s="1"/>
  <c r="CF22" i="1"/>
  <c r="CR17" i="1"/>
  <c r="CR19" i="1" s="1"/>
  <c r="CF28" i="1"/>
  <c r="CX17" i="1"/>
  <c r="CX19" i="1" s="1"/>
  <c r="CF26" i="1"/>
  <c r="CV17" i="1"/>
  <c r="CV19" i="1" s="1"/>
  <c r="CF17" i="1"/>
  <c r="CM17" i="1"/>
  <c r="CM19" i="1" s="1"/>
  <c r="CF15" i="1"/>
  <c r="CK17" i="1"/>
  <c r="CK19" i="1" s="1"/>
  <c r="CF23" i="1"/>
  <c r="CS17" i="1"/>
  <c r="CS19" i="1" s="1"/>
  <c r="CF19" i="1"/>
  <c r="CO17" i="1"/>
  <c r="CO19" i="1" s="1"/>
  <c r="CF18" i="1"/>
  <c r="CN17" i="1"/>
  <c r="CN19" i="1" s="1"/>
  <c r="CF16" i="1"/>
  <c r="CL17" i="1"/>
  <c r="CL19" i="1" s="1"/>
  <c r="CF24" i="1"/>
  <c r="CT17" i="1"/>
  <c r="CT19" i="1" s="1"/>
  <c r="CF20" i="1"/>
  <c r="CP17" i="1"/>
  <c r="CP19" i="1" s="1"/>
  <c r="CF14" i="1"/>
  <c r="CJ17" i="1"/>
  <c r="CJ19" i="1" s="1"/>
  <c r="CF27" i="1"/>
  <c r="CW17" i="1"/>
  <c r="CW19" i="1" s="1"/>
  <c r="CF29" i="1"/>
  <c r="CY17" i="1"/>
  <c r="CY19" i="1" s="1"/>
  <c r="CF21" i="1"/>
  <c r="CQ17" i="1"/>
  <c r="CQ19" i="1" s="1"/>
  <c r="CF25" i="1"/>
  <c r="CU17" i="1"/>
  <c r="CU19" i="1" s="1"/>
  <c r="AH18" i="1"/>
  <c r="AI28" i="1"/>
  <c r="EJ20" i="1"/>
  <c r="EN20" i="1"/>
  <c r="EL20" i="1"/>
  <c r="EI20" i="1"/>
  <c r="EF20" i="1"/>
  <c r="EB21" i="1"/>
  <c r="EB23" i="1" s="1"/>
  <c r="EE20" i="1"/>
  <c r="EK20" i="1"/>
  <c r="EP20" i="1"/>
  <c r="EQ20" i="1"/>
  <c r="EG20" i="1"/>
  <c r="ED20" i="1"/>
  <c r="EC20" i="1"/>
  <c r="EM20" i="1"/>
  <c r="EO20" i="1"/>
  <c r="EH20" i="1"/>
  <c r="CY18" i="1" l="1"/>
  <c r="CY20" i="1" s="1"/>
  <c r="CU18" i="1"/>
  <c r="CU20" i="1" s="1"/>
  <c r="CL18" i="1"/>
  <c r="CL20" i="1" s="1"/>
  <c r="CK18" i="1"/>
  <c r="CK20" i="1" s="1"/>
  <c r="CX18" i="1"/>
  <c r="CX20" i="1" s="1"/>
  <c r="CQ18" i="1"/>
  <c r="CQ20" i="1" s="1"/>
  <c r="CN18" i="1"/>
  <c r="CN20" i="1" s="1"/>
  <c r="CR18" i="1"/>
  <c r="CR20" i="1" s="1"/>
  <c r="CW18" i="1"/>
  <c r="CW20" i="1" s="1"/>
  <c r="CO18" i="1"/>
  <c r="CO20" i="1" s="1"/>
  <c r="CP18" i="1"/>
  <c r="CP20" i="1" s="1"/>
  <c r="CT18" i="1"/>
  <c r="CT20" i="1" s="1"/>
  <c r="CM18" i="1"/>
  <c r="CM20" i="1" s="1"/>
  <c r="CV18" i="1"/>
  <c r="CV20" i="1" s="1"/>
  <c r="CS18" i="1"/>
  <c r="CS20" i="1" s="1"/>
  <c r="CJ18" i="1"/>
  <c r="CJ20" i="1" s="1"/>
  <c r="EC21" i="1"/>
  <c r="EC23" i="1" s="1"/>
  <c r="EB22" i="1"/>
  <c r="EI21" i="1"/>
  <c r="EI23" i="1" s="1"/>
  <c r="EM21" i="1"/>
  <c r="EM23" i="1" s="1"/>
  <c r="EL21" i="1"/>
  <c r="EL23" i="1" s="1"/>
  <c r="EQ21" i="1"/>
  <c r="EQ23" i="1" s="1"/>
  <c r="EC22" i="1"/>
  <c r="EN21" i="1"/>
  <c r="EN23" i="1" s="1"/>
  <c r="ED21" i="1"/>
  <c r="ED23" i="1" s="1"/>
  <c r="EJ21" i="1"/>
  <c r="EJ23" i="1" s="1"/>
  <c r="EE21" i="1"/>
  <c r="EE23" i="1" s="1"/>
  <c r="EN22" i="1"/>
  <c r="EQ22" i="1"/>
  <c r="EJ22" i="1"/>
  <c r="EO21" i="1"/>
  <c r="EO23" i="1" s="1"/>
  <c r="EG21" i="1"/>
  <c r="EG23" i="1" s="1"/>
  <c r="EP21" i="1"/>
  <c r="EP23" i="1" s="1"/>
  <c r="EP22" i="1"/>
  <c r="EH21" i="1"/>
  <c r="EH23" i="1" s="1"/>
  <c r="EK21" i="1"/>
  <c r="EK23" i="1" s="1"/>
  <c r="EL22" i="1"/>
  <c r="EM22" i="1"/>
  <c r="EF21" i="1"/>
  <c r="EF23" i="1" s="1"/>
  <c r="EI22" i="1"/>
  <c r="ED22" i="1"/>
  <c r="EE22" i="1"/>
  <c r="EO22" i="1"/>
  <c r="EG22" i="1"/>
  <c r="EH22" i="1"/>
  <c r="EK22" i="1"/>
  <c r="EF22" i="1"/>
</calcChain>
</file>

<file path=xl/sharedStrings.xml><?xml version="1.0" encoding="utf-8"?>
<sst xmlns="http://schemas.openxmlformats.org/spreadsheetml/2006/main" count="219" uniqueCount="128">
  <si>
    <t>m =</t>
    <phoneticPr fontId="1"/>
  </si>
  <si>
    <t>n =</t>
    <phoneticPr fontId="1"/>
  </si>
  <si>
    <t>k =</t>
    <phoneticPr fontId="1"/>
  </si>
  <si>
    <t>= n - m</t>
    <phoneticPr fontId="1"/>
  </si>
  <si>
    <t>符号化データ：Y</t>
    <rPh sb="0" eb="3">
      <t>フゴウカ</t>
    </rPh>
    <phoneticPr fontId="1"/>
  </si>
  <si>
    <t>誤り入り符号化データ：Y'</t>
    <rPh sb="0" eb="1">
      <t>アヤマ</t>
    </rPh>
    <rPh sb="2" eb="3">
      <t>イ</t>
    </rPh>
    <rPh sb="4" eb="7">
      <t>フゴウカ</t>
    </rPh>
    <phoneticPr fontId="1"/>
  </si>
  <si>
    <t>符号計算：Y'</t>
    <rPh sb="0" eb="2">
      <t>フゴウ</t>
    </rPh>
    <rPh sb="2" eb="4">
      <t>ケイサン</t>
    </rPh>
    <phoneticPr fontId="1"/>
  </si>
  <si>
    <t>符号長：</t>
    <rPh sb="0" eb="2">
      <t>フゴウ</t>
    </rPh>
    <rPh sb="2" eb="3">
      <t>チョウ</t>
    </rPh>
    <phoneticPr fontId="1"/>
  </si>
  <si>
    <t>情報数：</t>
    <rPh sb="0" eb="2">
      <t>ジョウホウ</t>
    </rPh>
    <rPh sb="2" eb="3">
      <t>スウ</t>
    </rPh>
    <phoneticPr fontId="1"/>
  </si>
  <si>
    <t>整数：</t>
    <rPh sb="0" eb="2">
      <t>セイスウ</t>
    </rPh>
    <phoneticPr fontId="1"/>
  </si>
  <si>
    <t>※検査点のビット数</t>
    <rPh sb="1" eb="3">
      <t>ケンサ</t>
    </rPh>
    <rPh sb="3" eb="4">
      <t>テン</t>
    </rPh>
    <rPh sb="8" eb="9">
      <t>スウ</t>
    </rPh>
    <phoneticPr fontId="1"/>
  </si>
  <si>
    <t>行列：A</t>
    <rPh sb="0" eb="2">
      <t>ギョウレツ</t>
    </rPh>
    <phoneticPr fontId="1"/>
  </si>
  <si>
    <t>行列：P</t>
    <rPh sb="0" eb="2">
      <t>ギョウレツ</t>
    </rPh>
    <phoneticPr fontId="1"/>
  </si>
  <si>
    <t>※任意の4ビット</t>
  </si>
  <si>
    <t>http://intuniv.cs.shinshu-u.ac.jp/Lecture/error_correcting_code/Book/Section5.html</t>
    <phoneticPr fontId="1"/>
  </si>
  <si>
    <t>http://ja.wikipedia.org/wiki/%E3%83%8F%E3%83%9F%E3%83%B3%E3%82%B0%E7%AC%A6%E5%8F%B7</t>
    <phoneticPr fontId="1"/>
  </si>
  <si>
    <t>P</t>
    <phoneticPr fontId="1"/>
  </si>
  <si>
    <t>情報：x×16通り</t>
    <rPh sb="0" eb="2">
      <t>ジョウホウ</t>
    </rPh>
    <rPh sb="7" eb="8">
      <t>トオ</t>
    </rPh>
    <phoneticPr fontId="1"/>
  </si>
  <si>
    <t>⇒</t>
    <phoneticPr fontId="1"/>
  </si>
  <si>
    <t>←誤り位置</t>
    <rPh sb="1" eb="2">
      <t>アヤマ</t>
    </rPh>
    <rPh sb="3" eb="5">
      <t>イチ</t>
    </rPh>
    <phoneticPr fontId="1"/>
  </si>
  <si>
    <t>誤りi：</t>
    <rPh sb="0" eb="1">
      <t>アヤマ</t>
    </rPh>
    <phoneticPr fontId="1"/>
  </si>
  <si>
    <t>誤りj：</t>
    <rPh sb="0" eb="1">
      <t>アヤマ</t>
    </rPh>
    <phoneticPr fontId="1"/>
  </si>
  <si>
    <t>↓</t>
  </si>
  <si>
    <t>↓</t>
    <phoneticPr fontId="1"/>
  </si>
  <si>
    <t>※誤り検出</t>
    <rPh sb="1" eb="2">
      <t>アヤマ</t>
    </rPh>
    <rPh sb="3" eb="5">
      <t>ケンシュツ</t>
    </rPh>
    <phoneticPr fontId="1"/>
  </si>
  <si>
    <t>→</t>
    <phoneticPr fontId="1"/>
  </si>
  <si>
    <t>↑</t>
    <phoneticPr fontId="1"/>
  </si>
  <si>
    <t>本来の符号データ</t>
    <rPh sb="0" eb="2">
      <t>ホンライ</t>
    </rPh>
    <rPh sb="3" eb="5">
      <t>フゴウ</t>
    </rPh>
    <phoneticPr fontId="1"/>
  </si>
  <si>
    <t>※誤りビット数 &gt;= 3 … 対応不可（上記のいずれかのパターンとして処理されてしまう）</t>
    <rPh sb="1" eb="2">
      <t>アヤマ</t>
    </rPh>
    <rPh sb="6" eb="7">
      <t>スウ</t>
    </rPh>
    <rPh sb="15" eb="17">
      <t>タイオウ</t>
    </rPh>
    <rPh sb="17" eb="19">
      <t>フカ</t>
    </rPh>
    <rPh sb="20" eb="22">
      <t>ジョウキ</t>
    </rPh>
    <rPh sb="35" eb="37">
      <t>ショリ</t>
    </rPh>
    <phoneticPr fontId="1"/>
  </si>
  <si>
    <t>ハミング距離：</t>
    <rPh sb="4" eb="6">
      <t>キョリ</t>
    </rPh>
    <phoneticPr fontId="1"/>
  </si>
  <si>
    <t>パリティ：　※F毎</t>
    <rPh sb="8" eb="9">
      <t>マイ</t>
    </rPh>
    <phoneticPr fontId="1"/>
  </si>
  <si>
    <t>※零因子</t>
    <rPh sb="1" eb="2">
      <t>ゼロ</t>
    </rPh>
    <rPh sb="2" eb="4">
      <t>インシ</t>
    </rPh>
    <phoneticPr fontId="1"/>
  </si>
  <si>
    <r>
      <t>↑行列：Fと行列：Gをつなげたものが、</t>
    </r>
    <r>
      <rPr>
        <sz val="11"/>
        <color theme="1"/>
        <rFont val="ＭＳ Ｐゴシック"/>
        <family val="2"/>
        <charset val="128"/>
        <scheme val="minor"/>
      </rPr>
      <t/>
    </r>
    <rPh sb="1" eb="3">
      <t>ギョウレツ</t>
    </rPh>
    <rPh sb="6" eb="8">
      <t>ギョウレツ</t>
    </rPh>
    <phoneticPr fontId="1"/>
  </si>
  <si>
    <r>
      <t>誤りe</t>
    </r>
    <r>
      <rPr>
        <vertAlign val="subscript"/>
        <sz val="9"/>
        <color theme="1"/>
        <rFont val="ＭＳ ゴシック"/>
        <family val="3"/>
        <charset val="128"/>
      </rPr>
      <t>j</t>
    </r>
    <r>
      <rPr>
        <sz val="9"/>
        <color theme="1"/>
        <rFont val="ＭＳ ゴシック"/>
        <family val="3"/>
        <charset val="128"/>
      </rPr>
      <t>：</t>
    </r>
    <rPh sb="0" eb="1">
      <t>アヤマ</t>
    </rPh>
    <phoneticPr fontId="1"/>
  </si>
  <si>
    <r>
      <t>単位行列：I</t>
    </r>
    <r>
      <rPr>
        <vertAlign val="subscript"/>
        <sz val="9"/>
        <color theme="1"/>
        <rFont val="ＭＳ ゴシック"/>
        <family val="3"/>
        <charset val="128"/>
      </rPr>
      <t>m</t>
    </r>
    <rPh sb="0" eb="2">
      <t>タンイ</t>
    </rPh>
    <rPh sb="2" eb="4">
      <t>ギョウレツ</t>
    </rPh>
    <phoneticPr fontId="1"/>
  </si>
  <si>
    <r>
      <t>行列：H・G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0</t>
    </r>
    <rPh sb="0" eb="2">
      <t>ギョウレツ</t>
    </rPh>
    <phoneticPr fontId="1"/>
  </si>
  <si>
    <r>
      <t>符号化データ：Y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×16通り</t>
    </r>
    <rPh sb="0" eb="3">
      <t>フゴウカ</t>
    </rPh>
    <rPh sb="12" eb="13">
      <t>トオ</t>
    </rPh>
    <phoneticPr fontId="1"/>
  </si>
  <si>
    <r>
      <t>Y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x・G</t>
    </r>
    <phoneticPr fontId="1"/>
  </si>
  <si>
    <r>
      <t>単位行列：I</t>
    </r>
    <r>
      <rPr>
        <vertAlign val="subscript"/>
        <sz val="9"/>
        <color theme="1"/>
        <rFont val="ＭＳ ゴシック"/>
        <family val="3"/>
        <charset val="128"/>
      </rPr>
      <t>k</t>
    </r>
    <rPh sb="0" eb="2">
      <t>タンイ</t>
    </rPh>
    <rPh sb="2" eb="4">
      <t>ギョウレツ</t>
    </rPh>
    <phoneticPr fontId="1"/>
  </si>
  <si>
    <r>
      <t>行列：H</t>
    </r>
    <r>
      <rPr>
        <vertAlign val="superscript"/>
        <sz val="9"/>
        <color theme="1"/>
        <rFont val="ＭＳ ゴシック"/>
        <family val="3"/>
        <charset val="128"/>
      </rPr>
      <t>T</t>
    </r>
    <rPh sb="0" eb="2">
      <t>ギョウレツ</t>
    </rPh>
    <phoneticPr fontId="1"/>
  </si>
  <si>
    <r>
      <t>行列：G</t>
    </r>
    <r>
      <rPr>
        <vertAlign val="superscript"/>
        <sz val="9"/>
        <color theme="1"/>
        <rFont val="ＭＳ ゴシック"/>
        <family val="3"/>
        <charset val="128"/>
      </rPr>
      <t>T</t>
    </r>
    <rPh sb="0" eb="2">
      <t>ギョウレツ</t>
    </rPh>
    <phoneticPr fontId="1"/>
  </si>
  <si>
    <r>
      <t>行列：G・H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0</t>
    </r>
    <rPh sb="0" eb="2">
      <t>ギョウレツ</t>
    </rPh>
    <phoneticPr fontId="1"/>
  </si>
  <si>
    <r>
      <t>行列：F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×16通り</t>
    </r>
    <rPh sb="0" eb="2">
      <t>ギョウレツ</t>
    </rPh>
    <rPh sb="8" eb="9">
      <t>トオ</t>
    </rPh>
    <phoneticPr fontId="1"/>
  </si>
  <si>
    <r>
      <t>x</t>
    </r>
    <r>
      <rPr>
        <vertAlign val="subscript"/>
        <sz val="9"/>
        <color theme="1"/>
        <rFont val="ＭＳ ゴシック"/>
        <family val="3"/>
        <charset val="128"/>
      </rPr>
      <t>1</t>
    </r>
    <phoneticPr fontId="1"/>
  </si>
  <si>
    <r>
      <t>x</t>
    </r>
    <r>
      <rPr>
        <vertAlign val="subscript"/>
        <sz val="9"/>
        <color theme="1"/>
        <rFont val="ＭＳ ゴシック"/>
        <family val="3"/>
        <charset val="128"/>
      </rPr>
      <t>2</t>
    </r>
    <phoneticPr fontId="1"/>
  </si>
  <si>
    <r>
      <t>x</t>
    </r>
    <r>
      <rPr>
        <vertAlign val="subscript"/>
        <sz val="9"/>
        <color theme="1"/>
        <rFont val="ＭＳ ゴシック"/>
        <family val="3"/>
        <charset val="128"/>
      </rPr>
      <t>3</t>
    </r>
    <phoneticPr fontId="1"/>
  </si>
  <si>
    <r>
      <t>x</t>
    </r>
    <r>
      <rPr>
        <vertAlign val="subscript"/>
        <sz val="9"/>
        <color theme="1"/>
        <rFont val="ＭＳ ゴシック"/>
        <family val="3"/>
        <charset val="128"/>
      </rPr>
      <t>4</t>
    </r>
    <phoneticPr fontId="1"/>
  </si>
  <si>
    <r>
      <t>行列：G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　※F毎</t>
    </r>
    <rPh sb="0" eb="2">
      <t>ギョウレツ</t>
    </rPh>
    <rPh sb="8" eb="9">
      <t>マイ</t>
    </rPh>
    <phoneticPr fontId="1"/>
  </si>
  <si>
    <r>
      <t>G = P・F</t>
    </r>
    <r>
      <rPr>
        <vertAlign val="superscript"/>
        <sz val="9"/>
        <color theme="1"/>
        <rFont val="ＭＳ ゴシック"/>
        <family val="3"/>
        <charset val="128"/>
      </rPr>
      <t>T</t>
    </r>
    <phoneticPr fontId="1"/>
  </si>
  <si>
    <r>
      <t>Y</t>
    </r>
    <r>
      <rPr>
        <vertAlign val="subscript"/>
        <sz val="9"/>
        <color theme="1"/>
        <rFont val="ＭＳ ゴシック"/>
        <family val="3"/>
        <charset val="128"/>
      </rPr>
      <t>1</t>
    </r>
    <phoneticPr fontId="1"/>
  </si>
  <si>
    <r>
      <t>Y</t>
    </r>
    <r>
      <rPr>
        <vertAlign val="subscript"/>
        <sz val="9"/>
        <color theme="1"/>
        <rFont val="ＭＳ ゴシック"/>
        <family val="3"/>
        <charset val="128"/>
      </rPr>
      <t>2</t>
    </r>
    <phoneticPr fontId="1"/>
  </si>
  <si>
    <r>
      <t>Y</t>
    </r>
    <r>
      <rPr>
        <vertAlign val="subscript"/>
        <sz val="9"/>
        <color theme="1"/>
        <rFont val="ＭＳ ゴシック"/>
        <family val="3"/>
        <charset val="128"/>
      </rPr>
      <t>3</t>
    </r>
    <phoneticPr fontId="1"/>
  </si>
  <si>
    <r>
      <t>　符号化データ：Y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×16通り</t>
    </r>
    <rPh sb="13" eb="14">
      <t>トオ</t>
    </rPh>
    <phoneticPr fontId="1"/>
  </si>
  <si>
    <t>※灰色の値は、複合化時に</t>
    <rPh sb="1" eb="3">
      <t>ハイイロ</t>
    </rPh>
    <rPh sb="4" eb="5">
      <t>アタイ</t>
    </rPh>
    <rPh sb="7" eb="9">
      <t>フクゴウ</t>
    </rPh>
    <rPh sb="9" eb="10">
      <t>カ</t>
    </rPh>
    <rPh sb="10" eb="11">
      <t>ジ</t>
    </rPh>
    <phoneticPr fontId="1"/>
  </si>
  <si>
    <r>
      <t>行列：A</t>
    </r>
    <r>
      <rPr>
        <vertAlign val="superscript"/>
        <sz val="9"/>
        <color theme="1"/>
        <rFont val="ＭＳ ゴシック"/>
        <family val="3"/>
        <charset val="128"/>
      </rPr>
      <t>T</t>
    </r>
    <rPh sb="0" eb="2">
      <t>ギョウレツ</t>
    </rPh>
    <phoneticPr fontId="1"/>
  </si>
  <si>
    <r>
      <t>G = [ I</t>
    </r>
    <r>
      <rPr>
        <vertAlign val="subscript"/>
        <sz val="9"/>
        <color theme="1"/>
        <rFont val="ＭＳ ゴシック"/>
        <family val="3"/>
        <charset val="128"/>
      </rPr>
      <t>k</t>
    </r>
    <r>
      <rPr>
        <sz val="9"/>
        <color theme="1"/>
        <rFont val="ＭＳ ゴシック"/>
        <family val="3"/>
        <charset val="128"/>
      </rPr>
      <t xml:space="preserve"> A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]</t>
    </r>
    <phoneticPr fontId="1"/>
  </si>
  <si>
    <r>
      <t>行列：H</t>
    </r>
    <r>
      <rPr>
        <sz val="9"/>
        <color rgb="FFFF0000"/>
        <rFont val="ＭＳ ゴシック"/>
        <family val="3"/>
        <charset val="128"/>
      </rPr>
      <t>（検査行列）</t>
    </r>
    <rPh sb="0" eb="2">
      <t>ギョウレツ</t>
    </rPh>
    <rPh sb="5" eb="7">
      <t>ケンサ</t>
    </rPh>
    <rPh sb="7" eb="9">
      <t>ギョウレツ</t>
    </rPh>
    <phoneticPr fontId="1"/>
  </si>
  <si>
    <r>
      <t>行列：G</t>
    </r>
    <r>
      <rPr>
        <sz val="9"/>
        <color rgb="FFFF0000"/>
        <rFont val="ＭＳ ゴシック"/>
        <family val="3"/>
        <charset val="128"/>
      </rPr>
      <t>（生成行列）</t>
    </r>
    <rPh sb="0" eb="2">
      <t>ギョウレツ</t>
    </rPh>
    <rPh sb="5" eb="7">
      <t>セイセイ</t>
    </rPh>
    <rPh sb="7" eb="9">
      <t>ギョウレツ</t>
    </rPh>
    <phoneticPr fontId="1"/>
  </si>
  <si>
    <t>※列上の有効ビット数が2以上のk×m行列</t>
  </si>
  <si>
    <t>※列上の有効ビット数が</t>
    <phoneticPr fontId="1"/>
  </si>
  <si>
    <t>　2以上のk×m行列</t>
    <phoneticPr fontId="1"/>
  </si>
  <si>
    <t>名称：</t>
    <rPh sb="0" eb="2">
      <t>メイショウ</t>
    </rPh>
    <phoneticPr fontId="1"/>
  </si>
  <si>
    <t>※重複のない任意の行列</t>
    <rPh sb="1" eb="3">
      <t>チョウフク</t>
    </rPh>
    <rPh sb="6" eb="8">
      <t>ニンイ</t>
    </rPh>
    <rPh sb="9" eb="11">
      <t>ギョウレツ</t>
    </rPh>
    <phoneticPr fontId="1"/>
  </si>
  <si>
    <t>←パリティ相違</t>
    <rPh sb="5" eb="7">
      <t>ソウイ</t>
    </rPh>
    <phoneticPr fontId="1"/>
  </si>
  <si>
    <t>【入力欄】</t>
    <rPh sb="1" eb="3">
      <t>ニュウリョク</t>
    </rPh>
    <rPh sb="3" eb="4">
      <t>ラン</t>
    </rPh>
    <phoneticPr fontId="1"/>
  </si>
  <si>
    <t>パリティ実測</t>
    <rPh sb="4" eb="6">
      <t>ジッソク</t>
    </rPh>
    <phoneticPr fontId="1"/>
  </si>
  <si>
    <r>
      <t>S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Y'・H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/>
    </r>
    <phoneticPr fontId="1"/>
  </si>
  <si>
    <r>
      <t>シンドローム：S</t>
    </r>
    <r>
      <rPr>
        <vertAlign val="superscript"/>
        <sz val="9"/>
        <color theme="1"/>
        <rFont val="ＭＳ ゴシック"/>
        <family val="3"/>
        <charset val="128"/>
      </rPr>
      <t>T</t>
    </r>
    <phoneticPr fontId="1"/>
  </si>
  <si>
    <r>
      <t>※Y・H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(x・G)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 xml:space="preserve"> = x・(G・H</t>
    </r>
    <r>
      <rPr>
        <vertAlign val="superscript"/>
        <sz val="9"/>
        <color theme="1"/>
        <rFont val="ＭＳ ゴシック"/>
        <family val="3"/>
        <charset val="128"/>
      </rPr>
      <t>T</t>
    </r>
    <r>
      <rPr>
        <sz val="9"/>
        <color theme="1"/>
        <rFont val="ＭＳ ゴシック"/>
        <family val="3"/>
        <charset val="128"/>
      </rPr>
      <t>)</t>
    </r>
    <r>
      <rPr>
        <vertAlign val="superscript"/>
        <sz val="9"/>
        <color theme="1"/>
        <rFont val="ＭＳ ゴシック"/>
        <family val="3"/>
        <charset val="128"/>
      </rPr>
      <t xml:space="preserve"> </t>
    </r>
    <r>
      <rPr>
        <sz val="9"/>
        <color theme="1"/>
        <rFont val="ＭＳ ゴシック"/>
        <family val="3"/>
        <charset val="128"/>
      </rPr>
      <t>= 0</t>
    </r>
    <phoneticPr fontId="1"/>
  </si>
  <si>
    <t>≪拡張ハミング符号計算≫</t>
    <rPh sb="1" eb="3">
      <t>カクチョウ</t>
    </rPh>
    <rPh sb="7" eb="9">
      <t>フゴウ</t>
    </rPh>
    <rPh sb="9" eb="11">
      <t>ケイサン</t>
    </rPh>
    <phoneticPr fontId="1"/>
  </si>
  <si>
    <t>パリティ：</t>
    <phoneticPr fontId="1"/>
  </si>
  <si>
    <t>※パリティビット数</t>
    <rPh sb="7" eb="8">
      <t>スウ</t>
    </rPh>
    <phoneticPr fontId="1"/>
  </si>
  <si>
    <t>←パリティ</t>
    <phoneticPr fontId="1"/>
  </si>
  <si>
    <r>
      <t>※情報：x</t>
    </r>
    <r>
      <rPr>
        <vertAlign val="superscript"/>
        <sz val="9"/>
        <color theme="1"/>
        <rFont val="ＭＳ ゴシック"/>
        <family val="3"/>
        <charset val="128"/>
      </rPr>
      <t>T</t>
    </r>
    <rPh sb="1" eb="3">
      <t>ジョウホウ</t>
    </rPh>
    <phoneticPr fontId="1"/>
  </si>
  <si>
    <t>※任意の4ビット</t>
    <phoneticPr fontId="1"/>
  </si>
  <si>
    <t>プログラムによる符号化テスト：</t>
    <rPh sb="8" eb="11">
      <t>フゴウカ</t>
    </rPh>
    <phoneticPr fontId="1"/>
  </si>
  <si>
    <t>シンドローム：</t>
    <phoneticPr fontId="1"/>
  </si>
  <si>
    <t>誤り位置：</t>
    <rPh sb="0" eb="1">
      <t>アヤマ</t>
    </rPh>
    <rPh sb="2" eb="4">
      <t>イチ</t>
    </rPh>
    <phoneticPr fontId="1"/>
  </si>
  <si>
    <t>プログラムによる複合化テスト</t>
    <rPh sb="8" eb="11">
      <t>フクゴウカ</t>
    </rPh>
    <phoneticPr fontId="1"/>
  </si>
  <si>
    <t>※誤りビット数 = 0 … シンドローム=0(OK)、パリティ相違なし(OK)なら、符号化データの上位4ビットを採用</t>
    <rPh sb="1" eb="2">
      <t>アヤマ</t>
    </rPh>
    <rPh sb="6" eb="7">
      <t>スウ</t>
    </rPh>
    <rPh sb="31" eb="33">
      <t>ソウイ</t>
    </rPh>
    <rPh sb="42" eb="45">
      <t>フゴウカ</t>
    </rPh>
    <rPh sb="49" eb="51">
      <t>ジョウイ</t>
    </rPh>
    <rPh sb="56" eb="58">
      <t>サイヨウ</t>
    </rPh>
    <phoneticPr fontId="1"/>
  </si>
  <si>
    <t>※誤りビット数 = 1 … シンドローム=0(OK)、パリティ相違あり(NG)なら、符号化データの上位4ビットを採用</t>
    <rPh sb="1" eb="2">
      <t>アヤマ</t>
    </rPh>
    <rPh sb="6" eb="7">
      <t>スウ</t>
    </rPh>
    <rPh sb="31" eb="33">
      <t>ソウイ</t>
    </rPh>
    <rPh sb="42" eb="45">
      <t>フゴウカ</t>
    </rPh>
    <rPh sb="49" eb="51">
      <t>ジョウイ</t>
    </rPh>
    <rPh sb="56" eb="58">
      <t>サイヨウ</t>
    </rPh>
    <phoneticPr fontId="1"/>
  </si>
  <si>
    <t>※誤りビット数 = 2 … シンドローム!=0(NG)、パリティ相違なし(OK)なら、訂正不能</t>
    <rPh sb="1" eb="2">
      <t>アヤマ</t>
    </rPh>
    <rPh sb="6" eb="7">
      <t>スウ</t>
    </rPh>
    <rPh sb="32" eb="34">
      <t>ソウイ</t>
    </rPh>
    <rPh sb="43" eb="45">
      <t>テイセイ</t>
    </rPh>
    <rPh sb="45" eb="47">
      <t>フノウ</t>
    </rPh>
    <phoneticPr fontId="1"/>
  </si>
  <si>
    <t>※誤りビット数 = 0 … ハミング距離0のデータあり(OK)、パリティ相違なし(OK)なら、ハミング距離0のデータ採用</t>
    <rPh sb="1" eb="2">
      <t>アヤマ</t>
    </rPh>
    <rPh sb="6" eb="7">
      <t>スウ</t>
    </rPh>
    <rPh sb="18" eb="20">
      <t>キョリ</t>
    </rPh>
    <rPh sb="36" eb="38">
      <t>ソウイ</t>
    </rPh>
    <rPh sb="51" eb="53">
      <t>キョリ</t>
    </rPh>
    <rPh sb="58" eb="60">
      <t>サイヨウ</t>
    </rPh>
    <phoneticPr fontId="1"/>
  </si>
  <si>
    <t>※誤りビット数 = 1 … ハミング距離0のデータあり(OK)、パリティ相違あり(NG)なら、ハミング距離0のデータ採用</t>
    <rPh sb="1" eb="2">
      <t>アヤマ</t>
    </rPh>
    <rPh sb="6" eb="7">
      <t>スウ</t>
    </rPh>
    <rPh sb="18" eb="20">
      <t>キョリ</t>
    </rPh>
    <rPh sb="51" eb="53">
      <t>キョリ</t>
    </rPh>
    <rPh sb="58" eb="60">
      <t>サイヨウ</t>
    </rPh>
    <phoneticPr fontId="1"/>
  </si>
  <si>
    <t>※誤りビット数 = 1 … ハミング距離0のデータなし(NG)、パリティ相違あり(NG)なら、ハミング距離1のデータ採用</t>
    <rPh sb="1" eb="2">
      <t>アヤマ</t>
    </rPh>
    <rPh sb="6" eb="7">
      <t>スウ</t>
    </rPh>
    <rPh sb="18" eb="20">
      <t>キョリ</t>
    </rPh>
    <phoneticPr fontId="1"/>
  </si>
  <si>
    <t>複合化した値：</t>
    <rPh sb="0" eb="3">
      <t>フクゴウカ</t>
    </rPh>
    <rPh sb="5" eb="6">
      <t>アタイ</t>
    </rPh>
    <phoneticPr fontId="1"/>
  </si>
  <si>
    <t>※誤りビット数 = 1 … シンドローム!=0(NG)、パリティ相違あり(NG)なら、符号化データの誤り位置のビットを反転した上で、上位4ビットを採用</t>
    <rPh sb="1" eb="2">
      <t>アヤマ</t>
    </rPh>
    <rPh sb="6" eb="7">
      <t>スウ</t>
    </rPh>
    <rPh sb="43" eb="46">
      <t>フゴウカ</t>
    </rPh>
    <rPh sb="50" eb="51">
      <t>アヤマ</t>
    </rPh>
    <rPh sb="52" eb="54">
      <t>イチ</t>
    </rPh>
    <rPh sb="59" eb="61">
      <t>ハンテン</t>
    </rPh>
    <rPh sb="63" eb="64">
      <t>ウエ</t>
    </rPh>
    <rPh sb="66" eb="68">
      <t>ジョウイ</t>
    </rPh>
    <rPh sb="73" eb="75">
      <t>サイヨウ</t>
    </rPh>
    <phoneticPr fontId="1"/>
  </si>
  <si>
    <t>訂正不能：</t>
    <rPh sb="0" eb="2">
      <t>テイセイ</t>
    </rPh>
    <rPh sb="2" eb="4">
      <t>フノウ</t>
    </rPh>
    <phoneticPr fontId="1"/>
  </si>
  <si>
    <r>
      <t>= 2</t>
    </r>
    <r>
      <rPr>
        <vertAlign val="superscript"/>
        <sz val="11"/>
        <color theme="1"/>
        <rFont val="ＭＳ ゴシック"/>
        <family val="3"/>
        <charset val="128"/>
      </rPr>
      <t>m</t>
    </r>
    <r>
      <rPr>
        <sz val="11"/>
        <color theme="1"/>
        <rFont val="ＭＳ ゴシック"/>
        <family val="3"/>
        <charset val="128"/>
      </rPr>
      <t xml:space="preserve"> - 1</t>
    </r>
    <phoneticPr fontId="1"/>
  </si>
  <si>
    <r>
      <t>誤りe</t>
    </r>
    <r>
      <rPr>
        <vertAlign val="subscript"/>
        <sz val="9"/>
        <color theme="1"/>
        <rFont val="ＭＳ ゴシック"/>
        <family val="3"/>
        <charset val="128"/>
      </rPr>
      <t>i</t>
    </r>
    <r>
      <rPr>
        <sz val="9"/>
        <color theme="1"/>
        <rFont val="ＭＳ ゴシック"/>
        <family val="3"/>
        <charset val="128"/>
      </rPr>
      <t>：</t>
    </r>
    <rPh sb="0" eb="1">
      <t>アヤマ</t>
    </rPh>
    <phoneticPr fontId="1"/>
  </si>
  <si>
    <r>
      <rPr>
        <b/>
        <sz val="11"/>
        <color theme="1"/>
        <rFont val="ＭＳ ゴシック"/>
        <family val="3"/>
        <charset val="128"/>
      </rPr>
      <t>方法②</t>
    </r>
    <r>
      <rPr>
        <b/>
        <sz val="9"/>
        <color theme="1"/>
        <rFont val="ＭＳ ゴシック"/>
        <family val="3"/>
        <charset val="128"/>
      </rPr>
      <t>　</t>
    </r>
    <r>
      <rPr>
        <sz val="9"/>
        <color theme="1"/>
        <rFont val="ＭＳ ゴシック"/>
        <family val="3"/>
        <charset val="128"/>
      </rPr>
      <t>引用：信州大学</t>
    </r>
    <rPh sb="0" eb="2">
      <t>ホウホウ</t>
    </rPh>
    <rPh sb="4" eb="6">
      <t>インヨウ</t>
    </rPh>
    <rPh sb="7" eb="9">
      <t>シンシュウ</t>
    </rPh>
    <rPh sb="9" eb="11">
      <t>ダイガク</t>
    </rPh>
    <phoneticPr fontId="1"/>
  </si>
  <si>
    <r>
      <rPr>
        <b/>
        <sz val="11"/>
        <color theme="1"/>
        <rFont val="ＭＳ ゴシック"/>
        <family val="3"/>
        <charset val="128"/>
      </rPr>
      <t>方法①</t>
    </r>
    <r>
      <rPr>
        <sz val="9"/>
        <color theme="1"/>
        <rFont val="ＭＳ ゴシック"/>
        <family val="3"/>
        <charset val="128"/>
      </rPr>
      <t>　引用：Wikipedia</t>
    </r>
    <rPh sb="0" eb="2">
      <t>ホウホウ</t>
    </rPh>
    <rPh sb="4" eb="6">
      <t>インヨウ</t>
    </rPh>
    <phoneticPr fontId="1"/>
  </si>
  <si>
    <t>←訂正不能</t>
    <rPh sb="1" eb="3">
      <t>テイセイ</t>
    </rPh>
    <rPh sb="3" eb="5">
      <t>フノウ</t>
    </rPh>
    <phoneticPr fontId="1"/>
  </si>
  <si>
    <t>※誤りビット数 = 2 … ハミング距離0のデータなし(NG)、パリティ相違なし(OK)なら、訂正不能</t>
    <rPh sb="1" eb="2">
      <t>アヤマ</t>
    </rPh>
    <rPh sb="6" eb="7">
      <t>スウ</t>
    </rPh>
    <rPh sb="18" eb="20">
      <t>キョリ</t>
    </rPh>
    <rPh sb="47" eb="49">
      <t>テイセイ</t>
    </rPh>
    <rPh sb="49" eb="51">
      <t>フノウ</t>
    </rPh>
    <phoneticPr fontId="1"/>
  </si>
  <si>
    <r>
      <t>H = [ A I</t>
    </r>
    <r>
      <rPr>
        <vertAlign val="subscript"/>
        <sz val="9"/>
        <color theme="1"/>
        <rFont val="ＭＳ ゴシック"/>
        <family val="3"/>
        <charset val="128"/>
      </rPr>
      <t>m</t>
    </r>
    <r>
      <rPr>
        <sz val="9"/>
        <color theme="1"/>
        <rFont val="ＭＳ ゴシック"/>
        <family val="3"/>
        <charset val="128"/>
      </rPr>
      <t xml:space="preserve"> ] ※組織符号</t>
    </r>
    <rPh sb="14" eb="16">
      <t>ソシキ</t>
    </rPh>
    <rPh sb="16" eb="18">
      <t>フゴウ</t>
    </rPh>
    <phoneticPr fontId="1"/>
  </si>
  <si>
    <t>　パリティ判定を兼用する</t>
    <phoneticPr fontId="1"/>
  </si>
  <si>
    <t>　場合に使用する</t>
    <phoneticPr fontId="1"/>
  </si>
  <si>
    <t>符号</t>
    <rPh sb="0" eb="2">
      <t>フゴウ</t>
    </rPh>
    <phoneticPr fontId="1"/>
  </si>
  <si>
    <t>シンドローム</t>
    <phoneticPr fontId="1"/>
  </si>
  <si>
    <t>誤り位置</t>
    <rPh sb="0" eb="1">
      <t>アヤマ</t>
    </rPh>
    <rPh sb="2" eb="4">
      <t>イチ</t>
    </rPh>
    <phoneticPr fontId="1"/>
  </si>
  <si>
    <t>複合化した値</t>
    <rPh sb="0" eb="3">
      <t>フクゴウカ</t>
    </rPh>
    <rPh sb="5" eb="6">
      <t>アタイ</t>
    </rPh>
    <phoneticPr fontId="1"/>
  </si>
  <si>
    <t>訂正不能</t>
    <rPh sb="0" eb="2">
      <t>テイセイ</t>
    </rPh>
    <rPh sb="2" eb="4">
      <t>フノウ</t>
    </rPh>
    <phoneticPr fontId="1"/>
  </si>
  <si>
    <t>00</t>
    <phoneticPr fontId="1"/>
  </si>
  <si>
    <t>01</t>
    <phoneticPr fontId="1"/>
  </si>
  <si>
    <t>02</t>
    <phoneticPr fontId="1"/>
  </si>
  <si>
    <t>03</t>
    <phoneticPr fontId="1"/>
  </si>
  <si>
    <t>04</t>
    <phoneticPr fontId="1"/>
  </si>
  <si>
    <t>05</t>
    <phoneticPr fontId="1"/>
  </si>
  <si>
    <t>06</t>
    <phoneticPr fontId="1"/>
  </si>
  <si>
    <t>07</t>
    <phoneticPr fontId="1"/>
  </si>
  <si>
    <t>08</t>
    <phoneticPr fontId="1"/>
  </si>
  <si>
    <t>09</t>
    <phoneticPr fontId="1"/>
  </si>
  <si>
    <t>0A</t>
    <phoneticPr fontId="1"/>
  </si>
  <si>
    <t>0B</t>
    <phoneticPr fontId="1"/>
  </si>
  <si>
    <t>0C</t>
    <phoneticPr fontId="1"/>
  </si>
  <si>
    <t>0D</t>
    <phoneticPr fontId="1"/>
  </si>
  <si>
    <t>0E</t>
    <phoneticPr fontId="1"/>
  </si>
  <si>
    <t>0F</t>
    <phoneticPr fontId="1"/>
  </si>
  <si>
    <t>FF</t>
    <phoneticPr fontId="1"/>
  </si>
  <si>
    <t>複合化した値</t>
    <phoneticPr fontId="1"/>
  </si>
  <si>
    <t>出現数</t>
    <rPh sb="0" eb="2">
      <t>シュツゲン</t>
    </rPh>
    <rPh sb="2" eb="3">
      <t>スウ</t>
    </rPh>
    <phoneticPr fontId="1"/>
  </si>
  <si>
    <t>※実際の処理では、高速化のために、</t>
    <rPh sb="1" eb="3">
      <t>ジッサイ</t>
    </rPh>
    <rPh sb="4" eb="6">
      <t>ショリ</t>
    </rPh>
    <rPh sb="9" eb="12">
      <t>コウソクカ</t>
    </rPh>
    <phoneticPr fontId="1"/>
  </si>
  <si>
    <t>右記のような分布テーブルを用いて</t>
    <rPh sb="0" eb="2">
      <t>ウキ</t>
    </rPh>
    <rPh sb="6" eb="8">
      <t>ブンプ</t>
    </rPh>
    <rPh sb="13" eb="14">
      <t>モチ</t>
    </rPh>
    <phoneticPr fontId="1"/>
  </si>
  <si>
    <t>複合化する。</t>
    <rPh sb="0" eb="3">
      <t>フクゴウカ</t>
    </rPh>
    <phoneticPr fontId="1"/>
  </si>
  <si>
    <t>（4bit×256個の複合化した値テーブル</t>
    <rPh sb="9" eb="10">
      <t>コ</t>
    </rPh>
    <rPh sb="11" eb="14">
      <t>フクゴウカ</t>
    </rPh>
    <rPh sb="16" eb="17">
      <t>アタイ</t>
    </rPh>
    <phoneticPr fontId="1"/>
  </si>
  <si>
    <t>＋1bit×256個の訂正不能テーブル）</t>
    <rPh sb="9" eb="10">
      <t>コ</t>
    </rPh>
    <rPh sb="12" eb="14">
      <t>テイセイ</t>
    </rPh>
    <rPh sb="14" eb="16">
      <t>フノウ</t>
    </rPh>
    <phoneticPr fontId="1"/>
  </si>
  <si>
    <t>※複合化時も同様に8bit×16個の</t>
    <rPh sb="1" eb="4">
      <t>フクゴウカ</t>
    </rPh>
    <rPh sb="4" eb="5">
      <t>ジ</t>
    </rPh>
    <rPh sb="6" eb="8">
      <t>ドウヨウ</t>
    </rPh>
    <rPh sb="16" eb="17">
      <t>コ</t>
    </rPh>
    <phoneticPr fontId="1"/>
  </si>
  <si>
    <t>テーブルを用いる。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</si>
</sst>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9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vertAlign val="superscript"/>
      <sz val="9"/>
      <color theme="1"/>
      <name val="ＭＳ ゴシック"/>
      <family val="3"/>
      <charset val="128"/>
    </font>
    <font>
      <vertAlign val="subscript"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theme="0" tint="-0.249977111117893"/>
      <name val="ＭＳ ゴシック"/>
      <family val="3"/>
      <charset val="128"/>
    </font>
    <font>
      <b/>
      <sz val="9"/>
      <color rgb="FF00B050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vertAlign val="superscript"/>
      <sz val="11"/>
      <color theme="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ajor"/>
    </font>
    <font>
      <u/>
      <sz val="9"/>
      <color theme="10"/>
      <name val="ＭＳ ゴシック"/>
      <family val="3"/>
      <charset val="128"/>
    </font>
    <font>
      <sz val="9"/>
      <color theme="0" tint="-4.9989318521683403E-2"/>
      <name val="ＭＳ 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indexed="64"/>
      </bottom>
      <diagonal/>
    </border>
    <border>
      <left style="medium">
        <color auto="1"/>
      </left>
      <right style="hair">
        <color auto="1"/>
      </right>
      <top style="double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double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0" borderId="0" xfId="0" applyFont="1" applyBorder="1">
      <alignment vertical="center"/>
    </xf>
    <xf numFmtId="0" fontId="4" fillId="0" borderId="0" xfId="0" applyFont="1" applyAlignment="1">
      <alignment horizontal="right"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7" fillId="6" borderId="7" xfId="0" applyFont="1" applyFill="1" applyBorder="1">
      <alignment vertical="center"/>
    </xf>
    <xf numFmtId="0" fontId="7" fillId="6" borderId="3" xfId="0" applyFont="1" applyFill="1" applyBorder="1">
      <alignment vertical="center"/>
    </xf>
    <xf numFmtId="0" fontId="7" fillId="6" borderId="4" xfId="0" applyFont="1" applyFill="1" applyBorder="1">
      <alignment vertical="center"/>
    </xf>
    <xf numFmtId="0" fontId="7" fillId="6" borderId="5" xfId="0" applyFont="1" applyFill="1" applyBorder="1">
      <alignment vertical="center"/>
    </xf>
    <xf numFmtId="0" fontId="4" fillId="5" borderId="7" xfId="0" applyFont="1" applyFill="1" applyBorder="1">
      <alignment vertical="center"/>
    </xf>
    <xf numFmtId="0" fontId="4" fillId="4" borderId="7" xfId="0" applyFont="1" applyFill="1" applyBorder="1">
      <alignment vertical="center"/>
    </xf>
    <xf numFmtId="0" fontId="4" fillId="0" borderId="10" xfId="0" applyFont="1" applyBorder="1">
      <alignment vertical="center"/>
    </xf>
    <xf numFmtId="0" fontId="4" fillId="3" borderId="3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7" fillId="6" borderId="8" xfId="0" applyFont="1" applyFill="1" applyBorder="1">
      <alignment vertical="center"/>
    </xf>
    <xf numFmtId="0" fontId="4" fillId="5" borderId="8" xfId="0" applyFont="1" applyFill="1" applyBorder="1">
      <alignment vertical="center"/>
    </xf>
    <xf numFmtId="0" fontId="4" fillId="4" borderId="8" xfId="0" applyFont="1" applyFill="1" applyBorder="1">
      <alignment vertical="center"/>
    </xf>
    <xf numFmtId="0" fontId="4" fillId="0" borderId="0" xfId="0" applyFont="1" applyFill="1" applyBorder="1" applyAlignment="1">
      <alignment horizontal="right" vertical="center"/>
    </xf>
    <xf numFmtId="0" fontId="4" fillId="5" borderId="3" xfId="0" applyFont="1" applyFill="1" applyBorder="1">
      <alignment vertical="center"/>
    </xf>
    <xf numFmtId="0" fontId="4" fillId="5" borderId="4" xfId="0" applyFont="1" applyFill="1" applyBorder="1">
      <alignment vertical="center"/>
    </xf>
    <xf numFmtId="0" fontId="4" fillId="5" borderId="5" xfId="0" applyFont="1" applyFill="1" applyBorder="1">
      <alignment vertical="center"/>
    </xf>
    <xf numFmtId="0" fontId="8" fillId="0" borderId="0" xfId="0" applyFont="1">
      <alignment vertical="center"/>
    </xf>
    <xf numFmtId="0" fontId="4" fillId="4" borderId="3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4" fillId="4" borderId="5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7" fillId="6" borderId="9" xfId="0" applyFont="1" applyFill="1" applyBorder="1">
      <alignment vertical="center"/>
    </xf>
    <xf numFmtId="0" fontId="4" fillId="5" borderId="9" xfId="0" applyFont="1" applyFill="1" applyBorder="1">
      <alignment vertical="center"/>
    </xf>
    <xf numFmtId="0" fontId="4" fillId="4" borderId="9" xfId="0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4" fillId="9" borderId="7" xfId="0" applyFont="1" applyFill="1" applyBorder="1">
      <alignment vertical="center"/>
    </xf>
    <xf numFmtId="0" fontId="4" fillId="9" borderId="8" xfId="0" applyFont="1" applyFill="1" applyBorder="1">
      <alignment vertical="center"/>
    </xf>
    <xf numFmtId="0" fontId="4" fillId="9" borderId="9" xfId="0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9" fillId="10" borderId="12" xfId="0" applyFont="1" applyFill="1" applyBorder="1">
      <alignment vertical="center"/>
    </xf>
    <xf numFmtId="0" fontId="9" fillId="10" borderId="2" xfId="0" applyFont="1" applyFill="1" applyBorder="1">
      <alignment vertical="center"/>
    </xf>
    <xf numFmtId="0" fontId="9" fillId="10" borderId="13" xfId="0" applyFont="1" applyFill="1" applyBorder="1">
      <alignment vertical="center"/>
    </xf>
    <xf numFmtId="0" fontId="9" fillId="10" borderId="14" xfId="0" applyFont="1" applyFill="1" applyBorder="1">
      <alignment vertical="center"/>
    </xf>
    <xf numFmtId="0" fontId="9" fillId="10" borderId="15" xfId="0" applyFont="1" applyFill="1" applyBorder="1">
      <alignment vertical="center"/>
    </xf>
    <xf numFmtId="0" fontId="4" fillId="7" borderId="16" xfId="0" applyFont="1" applyFill="1" applyBorder="1">
      <alignment vertical="center"/>
    </xf>
    <xf numFmtId="0" fontId="10" fillId="0" borderId="0" xfId="0" applyFont="1">
      <alignment vertical="center"/>
    </xf>
    <xf numFmtId="0" fontId="7" fillId="8" borderId="16" xfId="0" applyFont="1" applyFill="1" applyBorder="1">
      <alignment vertical="center"/>
    </xf>
    <xf numFmtId="0" fontId="10" fillId="0" borderId="0" xfId="0" applyFont="1" applyFill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0" fontId="4" fillId="0" borderId="0" xfId="0" applyFont="1" applyFill="1">
      <alignment vertical="center"/>
    </xf>
    <xf numFmtId="0" fontId="4" fillId="11" borderId="0" xfId="0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quotePrefix="1" applyFont="1">
      <alignment vertical="center"/>
    </xf>
    <xf numFmtId="0" fontId="12" fillId="0" borderId="11" xfId="0" applyFont="1" applyBorder="1">
      <alignment vertical="center"/>
    </xf>
    <xf numFmtId="0" fontId="14" fillId="0" borderId="0" xfId="0" applyFont="1">
      <alignment vertical="center"/>
    </xf>
    <xf numFmtId="0" fontId="4" fillId="0" borderId="0" xfId="0" quotePrefix="1" applyFont="1" applyBorder="1">
      <alignment vertical="center"/>
    </xf>
    <xf numFmtId="0" fontId="10" fillId="0" borderId="0" xfId="0" applyFont="1" applyBorder="1">
      <alignment vertical="center"/>
    </xf>
    <xf numFmtId="0" fontId="15" fillId="0" borderId="0" xfId="1" applyFont="1" applyBorder="1">
      <alignment vertical="center"/>
    </xf>
    <xf numFmtId="0" fontId="4" fillId="0" borderId="0" xfId="0" applyFont="1" applyBorder="1" applyAlignment="1">
      <alignment horizontal="right" vertical="center"/>
    </xf>
    <xf numFmtId="0" fontId="4" fillId="0" borderId="6" xfId="0" applyFont="1" applyBorder="1">
      <alignment vertical="center"/>
    </xf>
    <xf numFmtId="0" fontId="15" fillId="0" borderId="0" xfId="1" applyFont="1">
      <alignment vertical="center"/>
    </xf>
    <xf numFmtId="0" fontId="12" fillId="0" borderId="0" xfId="0" applyFont="1" applyBorder="1">
      <alignment vertical="center"/>
    </xf>
    <xf numFmtId="0" fontId="4" fillId="12" borderId="19" xfId="0" applyFont="1" applyFill="1" applyBorder="1" applyAlignment="1">
      <alignment horizontal="center" textRotation="255"/>
    </xf>
    <xf numFmtId="0" fontId="4" fillId="12" borderId="20" xfId="0" applyFont="1" applyFill="1" applyBorder="1" applyAlignment="1">
      <alignment horizontal="center" textRotation="255"/>
    </xf>
    <xf numFmtId="0" fontId="4" fillId="12" borderId="1" xfId="0" applyFont="1" applyFill="1" applyBorder="1" applyAlignment="1">
      <alignment horizontal="center" textRotation="255"/>
    </xf>
    <xf numFmtId="0" fontId="4" fillId="12" borderId="22" xfId="0" applyFont="1" applyFill="1" applyBorder="1" applyAlignment="1">
      <alignment horizontal="center" textRotation="255"/>
    </xf>
    <xf numFmtId="0" fontId="4" fillId="12" borderId="7" xfId="0" applyFont="1" applyFill="1" applyBorder="1" applyAlignment="1">
      <alignment horizontal="center" textRotation="255"/>
    </xf>
    <xf numFmtId="0" fontId="4" fillId="12" borderId="29" xfId="0" applyFont="1" applyFill="1" applyBorder="1" applyAlignment="1">
      <alignment horizontal="center" textRotation="255"/>
    </xf>
    <xf numFmtId="0" fontId="4" fillId="12" borderId="37" xfId="0" applyFont="1" applyFill="1" applyBorder="1" applyAlignment="1">
      <alignment horizontal="center" textRotation="255"/>
    </xf>
    <xf numFmtId="0" fontId="4" fillId="12" borderId="38" xfId="0" applyFont="1" applyFill="1" applyBorder="1" applyAlignment="1">
      <alignment horizontal="center" textRotation="255"/>
    </xf>
    <xf numFmtId="0" fontId="4" fillId="12" borderId="39" xfId="0" applyFont="1" applyFill="1" applyBorder="1" applyAlignment="1">
      <alignment horizontal="center" textRotation="255"/>
    </xf>
    <xf numFmtId="0" fontId="4" fillId="12" borderId="40" xfId="0" applyFont="1" applyFill="1" applyBorder="1" applyAlignment="1">
      <alignment horizontal="center" textRotation="255"/>
    </xf>
    <xf numFmtId="0" fontId="4" fillId="12" borderId="41" xfId="0" applyFont="1" applyFill="1" applyBorder="1" applyAlignment="1">
      <alignment horizontal="center" textRotation="255"/>
    </xf>
    <xf numFmtId="0" fontId="4" fillId="12" borderId="42" xfId="0" applyFont="1" applyFill="1" applyBorder="1" applyAlignment="1">
      <alignment horizontal="center" textRotation="255"/>
    </xf>
    <xf numFmtId="0" fontId="4" fillId="0" borderId="43" xfId="0" applyFont="1" applyBorder="1">
      <alignment vertical="center"/>
    </xf>
    <xf numFmtId="0" fontId="4" fillId="0" borderId="44" xfId="0" applyFont="1" applyBorder="1">
      <alignment vertical="center"/>
    </xf>
    <xf numFmtId="0" fontId="4" fillId="11" borderId="45" xfId="0" applyFont="1" applyFill="1" applyBorder="1">
      <alignment vertical="center"/>
    </xf>
    <xf numFmtId="0" fontId="4" fillId="11" borderId="46" xfId="0" applyFont="1" applyFill="1" applyBorder="1">
      <alignment vertical="center"/>
    </xf>
    <xf numFmtId="0" fontId="4" fillId="11" borderId="47" xfId="0" applyFont="1" applyFill="1" applyBorder="1">
      <alignment vertical="center"/>
    </xf>
    <xf numFmtId="0" fontId="4" fillId="11" borderId="44" xfId="0" applyFont="1" applyFill="1" applyBorder="1">
      <alignment vertical="center"/>
    </xf>
    <xf numFmtId="0" fontId="4" fillId="11" borderId="43" xfId="0" applyFont="1" applyFill="1" applyBorder="1">
      <alignment vertical="center"/>
    </xf>
    <xf numFmtId="0" fontId="4" fillId="11" borderId="0" xfId="0" applyFont="1" applyFill="1" applyBorder="1" applyAlignment="1">
      <alignment horizontal="right" vertical="center"/>
    </xf>
    <xf numFmtId="0" fontId="4" fillId="11" borderId="48" xfId="0" applyFont="1" applyFill="1" applyBorder="1">
      <alignment vertical="center"/>
    </xf>
    <xf numFmtId="0" fontId="4" fillId="11" borderId="36" xfId="0" applyFont="1" applyFill="1" applyBorder="1">
      <alignment vertical="center"/>
    </xf>
    <xf numFmtId="0" fontId="4" fillId="11" borderId="49" xfId="0" applyFont="1" applyFill="1" applyBorder="1">
      <alignment vertical="center"/>
    </xf>
    <xf numFmtId="0" fontId="4" fillId="12" borderId="45" xfId="0" applyFont="1" applyFill="1" applyBorder="1" applyAlignment="1">
      <alignment horizontal="center" textRotation="255"/>
    </xf>
    <xf numFmtId="0" fontId="4" fillId="12" borderId="50" xfId="0" applyFont="1" applyFill="1" applyBorder="1" applyAlignment="1">
      <alignment horizontal="center" textRotation="255"/>
    </xf>
    <xf numFmtId="0" fontId="4" fillId="12" borderId="44" xfId="0" applyFont="1" applyFill="1" applyBorder="1" applyAlignment="1">
      <alignment horizontal="center" textRotation="255"/>
    </xf>
    <xf numFmtId="0" fontId="4" fillId="12" borderId="18" xfId="0" applyFont="1" applyFill="1" applyBorder="1" applyAlignment="1">
      <alignment horizontal="center" textRotation="255"/>
    </xf>
    <xf numFmtId="0" fontId="4" fillId="12" borderId="51" xfId="0" applyFont="1" applyFill="1" applyBorder="1" applyAlignment="1">
      <alignment horizontal="center" textRotation="255"/>
    </xf>
    <xf numFmtId="0" fontId="4" fillId="12" borderId="52" xfId="0" applyFont="1" applyFill="1" applyBorder="1" applyAlignment="1">
      <alignment horizontal="center" textRotation="255"/>
    </xf>
    <xf numFmtId="0" fontId="16" fillId="0" borderId="0" xfId="0" applyFont="1" applyAlignment="1">
      <alignment horizontal="left" vertical="center"/>
    </xf>
    <xf numFmtId="0" fontId="8" fillId="9" borderId="23" xfId="0" quotePrefix="1" applyFont="1" applyFill="1" applyBorder="1" applyAlignment="1">
      <alignment horizontal="right" vertical="center"/>
    </xf>
    <xf numFmtId="0" fontId="4" fillId="9" borderId="25" xfId="0" applyFont="1" applyFill="1" applyBorder="1">
      <alignment vertical="center"/>
    </xf>
    <xf numFmtId="0" fontId="4" fillId="0" borderId="32" xfId="0" applyFont="1" applyFill="1" applyBorder="1" applyAlignment="1">
      <alignment horizontal="right" vertical="center"/>
    </xf>
    <xf numFmtId="0" fontId="4" fillId="0" borderId="33" xfId="0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right" vertical="center"/>
    </xf>
    <xf numFmtId="0" fontId="4" fillId="0" borderId="22" xfId="0" applyFont="1" applyFill="1" applyBorder="1" applyAlignment="1">
      <alignment horizontal="right" vertical="center"/>
    </xf>
    <xf numFmtId="0" fontId="4" fillId="0" borderId="30" xfId="0" applyFont="1" applyFill="1" applyBorder="1" applyAlignment="1">
      <alignment horizontal="right" vertical="center"/>
    </xf>
    <xf numFmtId="0" fontId="4" fillId="0" borderId="31" xfId="0" applyFont="1" applyFill="1" applyBorder="1" applyAlignment="1">
      <alignment horizontal="right" vertical="center"/>
    </xf>
    <xf numFmtId="0" fontId="4" fillId="0" borderId="27" xfId="0" applyFont="1" applyFill="1" applyBorder="1" applyAlignment="1">
      <alignment horizontal="right" vertical="center"/>
    </xf>
    <xf numFmtId="0" fontId="4" fillId="0" borderId="28" xfId="0" applyFont="1" applyFill="1" applyBorder="1" applyAlignment="1">
      <alignment horizontal="right" vertical="center"/>
    </xf>
    <xf numFmtId="0" fontId="4" fillId="0" borderId="34" xfId="0" applyFont="1" applyFill="1" applyBorder="1" applyAlignment="1">
      <alignment horizontal="right" vertical="center"/>
    </xf>
    <xf numFmtId="0" fontId="4" fillId="0" borderId="35" xfId="0" applyFont="1" applyFill="1" applyBorder="1" applyAlignment="1">
      <alignment horizontal="right" vertical="center"/>
    </xf>
    <xf numFmtId="0" fontId="4" fillId="0" borderId="24" xfId="0" applyFont="1" applyFill="1" applyBorder="1" applyAlignment="1">
      <alignment horizontal="right" vertical="center"/>
    </xf>
    <xf numFmtId="0" fontId="4" fillId="0" borderId="25" xfId="0" applyFont="1" applyFill="1" applyBorder="1" applyAlignment="1">
      <alignment horizontal="right" vertical="center"/>
    </xf>
    <xf numFmtId="0" fontId="4" fillId="0" borderId="0" xfId="0" quotePrefix="1" applyFont="1" applyAlignment="1">
      <alignment horizontal="right" vertical="center"/>
    </xf>
    <xf numFmtId="0" fontId="4" fillId="0" borderId="26" xfId="0" quotePrefix="1" applyFont="1" applyFill="1" applyBorder="1" applyAlignment="1">
      <alignment horizontal="right" vertical="center"/>
    </xf>
    <xf numFmtId="0" fontId="4" fillId="0" borderId="28" xfId="0" applyFont="1" applyFill="1" applyBorder="1">
      <alignment vertical="center"/>
    </xf>
    <xf numFmtId="0" fontId="4" fillId="0" borderId="21" xfId="0" quotePrefix="1" applyFont="1" applyFill="1" applyBorder="1" applyAlignment="1">
      <alignment horizontal="right" vertical="center"/>
    </xf>
    <xf numFmtId="0" fontId="4" fillId="0" borderId="22" xfId="0" applyFont="1" applyFill="1" applyBorder="1">
      <alignment vertical="center"/>
    </xf>
  </cellXfs>
  <cellStyles count="2">
    <cellStyle name="ハイパーリンク" xfId="1" builtinId="8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ja.wikipedia.org/wiki/%E3%83%8F%E3%83%9F%E3%83%B3%E3%82%B0%E7%AC%A6%E5%8F%B7" TargetMode="External"/><Relationship Id="rId1" Type="http://schemas.openxmlformats.org/officeDocument/2006/relationships/hyperlink" Target="http://intuniv.cs.shinshu-u.ac.jp/Lecture/error_correcting_code/Book/Section5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C271"/>
  <sheetViews>
    <sheetView showGridLines="0" tabSelected="1" zoomScaleNormal="100" workbookViewId="0"/>
  </sheetViews>
  <sheetFormatPr defaultColWidth="2.625" defaultRowHeight="11.25" x14ac:dyDescent="0.15"/>
  <cols>
    <col min="1" max="3" width="2.625" style="2"/>
    <col min="4" max="5" width="2.625" style="2" customWidth="1"/>
    <col min="6" max="13" width="2.625" style="2"/>
    <col min="14" max="14" width="2.625" style="2" customWidth="1"/>
    <col min="15" max="43" width="2.625" style="2"/>
    <col min="44" max="44" width="2.625" style="2" customWidth="1"/>
    <col min="45" max="45" width="2.625" style="2"/>
    <col min="46" max="46" width="2.625" style="2" customWidth="1"/>
    <col min="47" max="57" width="2.625" style="2"/>
    <col min="58" max="58" width="2.625" style="2" customWidth="1"/>
    <col min="59" max="80" width="2.625" style="2"/>
    <col min="81" max="81" width="2.625" style="2" customWidth="1"/>
    <col min="82" max="114" width="2.625" style="2"/>
    <col min="115" max="115" width="2.625" style="2" customWidth="1"/>
    <col min="116" max="131" width="2.625" style="2"/>
    <col min="132" max="132" width="2.625" style="2" customWidth="1"/>
    <col min="133" max="149" width="2.625" style="2"/>
    <col min="150" max="150" width="3.75" style="2" bestFit="1" customWidth="1"/>
    <col min="151" max="151" width="2.625" style="2" customWidth="1"/>
    <col min="152" max="155" width="2.625" style="2"/>
    <col min="156" max="156" width="3" style="2" bestFit="1" customWidth="1"/>
    <col min="157" max="157" width="2.625" style="2"/>
    <col min="158" max="158" width="3.75" style="2" bestFit="1" customWidth="1"/>
    <col min="159" max="159" width="2.625" style="2" customWidth="1"/>
    <col min="160" max="16384" width="2.625" style="2"/>
  </cols>
  <sheetData>
    <row r="1" spans="1:159" s="50" customFormat="1" ht="13.5" x14ac:dyDescent="0.15">
      <c r="A1" s="53" t="s">
        <v>69</v>
      </c>
    </row>
    <row r="2" spans="1:159" s="50" customFormat="1" ht="13.5" x14ac:dyDescent="0.15"/>
    <row r="3" spans="1:159" s="50" customFormat="1" ht="13.5" x14ac:dyDescent="0.15">
      <c r="A3" s="50" t="s">
        <v>9</v>
      </c>
      <c r="E3" s="50" t="s">
        <v>0</v>
      </c>
      <c r="G3" s="50">
        <v>3</v>
      </c>
      <c r="I3" s="50" t="s">
        <v>10</v>
      </c>
    </row>
    <row r="4" spans="1:159" s="50" customFormat="1" ht="15.75" x14ac:dyDescent="0.15">
      <c r="A4" s="50" t="s">
        <v>7</v>
      </c>
      <c r="E4" s="50" t="s">
        <v>1</v>
      </c>
      <c r="G4" s="50">
        <f>POWER(2,G3)-1</f>
        <v>7</v>
      </c>
      <c r="I4" s="51" t="s">
        <v>88</v>
      </c>
    </row>
    <row r="5" spans="1:159" s="50" customFormat="1" ht="13.5" x14ac:dyDescent="0.15">
      <c r="A5" s="50" t="s">
        <v>8</v>
      </c>
      <c r="E5" s="50" t="s">
        <v>2</v>
      </c>
      <c r="G5" s="50">
        <f>G4-G3</f>
        <v>4</v>
      </c>
      <c r="I5" s="51" t="s">
        <v>3</v>
      </c>
    </row>
    <row r="6" spans="1:159" s="50" customFormat="1" ht="13.5" x14ac:dyDescent="0.15">
      <c r="A6" s="50" t="s">
        <v>70</v>
      </c>
      <c r="G6" s="50">
        <v>1</v>
      </c>
      <c r="I6" s="51" t="s">
        <v>71</v>
      </c>
    </row>
    <row r="7" spans="1:159" s="50" customFormat="1" ht="13.5" x14ac:dyDescent="0.15">
      <c r="A7" s="50" t="s">
        <v>61</v>
      </c>
      <c r="E7" s="50" t="str">
        <f>"(" &amp; G4 &amp; "," &amp; G5 &amp; ")拡張ハミング符号"</f>
        <v>(7,4)拡張ハミング符号</v>
      </c>
    </row>
    <row r="8" spans="1:159" s="52" customFormat="1" ht="13.5" x14ac:dyDescent="0.15">
      <c r="EU8" s="60"/>
      <c r="EV8" s="60"/>
      <c r="EW8" s="60"/>
      <c r="EX8" s="60"/>
      <c r="EY8" s="60"/>
      <c r="EZ8" s="60"/>
      <c r="FA8" s="60"/>
      <c r="FB8" s="60"/>
      <c r="FC8" s="60"/>
    </row>
    <row r="9" spans="1:159" s="3" customFormat="1" ht="14.25" customHeight="1" thickBot="1" x14ac:dyDescent="0.2">
      <c r="A9" s="3" t="s">
        <v>91</v>
      </c>
      <c r="J9" s="54"/>
      <c r="BU9" s="55" t="s">
        <v>64</v>
      </c>
      <c r="EU9" s="58"/>
      <c r="EV9" s="58"/>
      <c r="EW9" s="58"/>
      <c r="EX9" s="58"/>
      <c r="EY9" s="58"/>
      <c r="EZ9" s="58"/>
      <c r="FA9" s="58"/>
      <c r="FB9" s="58"/>
      <c r="FC9" s="58"/>
    </row>
    <row r="10" spans="1:159" s="3" customFormat="1" ht="14.25" customHeight="1" thickTop="1" thickBot="1" x14ac:dyDescent="0.2">
      <c r="A10" s="56" t="s">
        <v>15</v>
      </c>
      <c r="BT10" s="57" t="s">
        <v>89</v>
      </c>
      <c r="BU10" s="42">
        <v>0</v>
      </c>
      <c r="BV10" s="42">
        <v>0</v>
      </c>
      <c r="BW10" s="42">
        <v>0</v>
      </c>
      <c r="BX10" s="42">
        <v>0</v>
      </c>
      <c r="BY10" s="42">
        <v>0</v>
      </c>
      <c r="BZ10" s="42">
        <v>0</v>
      </c>
      <c r="CA10" s="42">
        <v>0</v>
      </c>
      <c r="CB10" s="42">
        <v>0</v>
      </c>
      <c r="CC10" s="3">
        <f>SUM(BU10:CB10)</f>
        <v>0</v>
      </c>
      <c r="DI10" s="75"/>
      <c r="DJ10" s="76" t="s">
        <v>75</v>
      </c>
      <c r="DK10" s="76"/>
      <c r="DL10" s="76"/>
      <c r="DM10" s="76"/>
      <c r="DN10" s="76"/>
      <c r="DO10" s="76"/>
      <c r="DP10" s="76"/>
      <c r="DQ10" s="76"/>
      <c r="DR10" s="76"/>
      <c r="DS10" s="76"/>
      <c r="DT10" s="76"/>
      <c r="DU10" s="76"/>
      <c r="DV10" s="76"/>
      <c r="DW10" s="76"/>
      <c r="DX10" s="76"/>
      <c r="DY10" s="76"/>
      <c r="DZ10" s="76"/>
      <c r="EA10" s="76"/>
      <c r="EB10" s="76" t="s">
        <v>78</v>
      </c>
      <c r="EC10" s="76"/>
      <c r="ED10" s="76"/>
      <c r="EE10" s="76"/>
      <c r="EF10" s="76"/>
      <c r="EG10" s="76"/>
      <c r="EH10" s="76"/>
      <c r="EI10" s="76"/>
      <c r="EJ10" s="76"/>
      <c r="EK10" s="76"/>
      <c r="EL10" s="76"/>
      <c r="EM10" s="76"/>
      <c r="EN10" s="76"/>
      <c r="EO10" s="76"/>
      <c r="EP10" s="76"/>
      <c r="EQ10" s="76"/>
      <c r="ER10" s="77"/>
      <c r="ET10" s="84" t="s">
        <v>97</v>
      </c>
      <c r="EU10" s="85"/>
      <c r="EV10" s="61" t="s">
        <v>98</v>
      </c>
      <c r="EW10" s="61" t="s">
        <v>99</v>
      </c>
      <c r="EX10" s="61" t="s">
        <v>101</v>
      </c>
      <c r="EY10" s="62" t="s">
        <v>100</v>
      </c>
      <c r="FA10" s="67" t="s">
        <v>119</v>
      </c>
      <c r="FB10" s="68" t="s">
        <v>120</v>
      </c>
    </row>
    <row r="11" spans="1:159" s="3" customFormat="1" ht="15" customHeight="1" thickTop="1" thickBot="1" x14ac:dyDescent="0.2">
      <c r="BS11" s="2"/>
      <c r="BT11" s="4" t="s">
        <v>33</v>
      </c>
      <c r="BU11" s="42">
        <v>0</v>
      </c>
      <c r="BV11" s="42">
        <v>0</v>
      </c>
      <c r="BW11" s="42">
        <v>0</v>
      </c>
      <c r="BX11" s="42">
        <v>0</v>
      </c>
      <c r="BY11" s="42">
        <v>0</v>
      </c>
      <c r="BZ11" s="42">
        <v>0</v>
      </c>
      <c r="CA11" s="42">
        <v>0</v>
      </c>
      <c r="CB11" s="42">
        <v>0</v>
      </c>
      <c r="CC11" s="2">
        <f>SUM(BU11:CB11)</f>
        <v>0</v>
      </c>
      <c r="CD11" s="2"/>
      <c r="DI11" s="78"/>
      <c r="DJ11" s="8">
        <f>mulMat(HEX2DEC($AP$14),HEX2DEC($O$29))</f>
        <v>0</v>
      </c>
      <c r="DK11" s="9">
        <f>mulMat(HEX2DEC($AP$15),HEX2DEC($O$29))</f>
        <v>1</v>
      </c>
      <c r="DL11" s="9">
        <f>mulMat(HEX2DEC($AP$16),HEX2DEC($O$29))</f>
        <v>0</v>
      </c>
      <c r="DM11" s="9">
        <f>mulMat(HEX2DEC($AP$17),HEX2DEC($O$29))</f>
        <v>1</v>
      </c>
      <c r="DN11" s="9">
        <f>mulMat(HEX2DEC($AP$18),HEX2DEC($O$29))</f>
        <v>0</v>
      </c>
      <c r="DO11" s="9">
        <f>mulMat(HEX2DEC($AP$19),HEX2DEC($O$29))</f>
        <v>1</v>
      </c>
      <c r="DP11" s="9">
        <f>mulMat(HEX2DEC($AP$20),HEX2DEC($O$29))</f>
        <v>0</v>
      </c>
      <c r="DQ11" s="9">
        <f>mulMat(HEX2DEC($AP$21),HEX2DEC($O$29))</f>
        <v>1</v>
      </c>
      <c r="DR11" s="9">
        <f>mulMat(HEX2DEC($AP$22),HEX2DEC($O$29))</f>
        <v>0</v>
      </c>
      <c r="DS11" s="9">
        <f>mulMat(HEX2DEC($AP$23),HEX2DEC($O$29))</f>
        <v>1</v>
      </c>
      <c r="DT11" s="9">
        <f>mulMat(HEX2DEC($AP$24),HEX2DEC($O$29))</f>
        <v>0</v>
      </c>
      <c r="DU11" s="9">
        <f>mulMat(HEX2DEC($AP$25),HEX2DEC($O$29))</f>
        <v>1</v>
      </c>
      <c r="DV11" s="9">
        <f>mulMat(HEX2DEC($AP$26),HEX2DEC($O$29))</f>
        <v>0</v>
      </c>
      <c r="DW11" s="9">
        <f>mulMat(HEX2DEC($AP$27),HEX2DEC($O$29))</f>
        <v>1</v>
      </c>
      <c r="DX11" s="9">
        <f>mulMat(HEX2DEC($AP$28),HEX2DEC($O$29))</f>
        <v>0</v>
      </c>
      <c r="DY11" s="10">
        <f>mulMat(HEX2DEC($AP$29),HEX2DEC($O$29))</f>
        <v>1</v>
      </c>
      <c r="DZ11" s="49"/>
      <c r="EA11" s="49"/>
      <c r="EB11" s="8">
        <f>$BU$14</f>
        <v>0</v>
      </c>
      <c r="EC11" s="9">
        <f>$BU$15</f>
        <v>1</v>
      </c>
      <c r="ED11" s="9">
        <f>$BU$16</f>
        <v>0</v>
      </c>
      <c r="EE11" s="9">
        <f>$BU$17</f>
        <v>1</v>
      </c>
      <c r="EF11" s="9">
        <f>$BU$18</f>
        <v>0</v>
      </c>
      <c r="EG11" s="9">
        <f>$BU$19</f>
        <v>1</v>
      </c>
      <c r="EH11" s="9">
        <f>$BU$20</f>
        <v>0</v>
      </c>
      <c r="EI11" s="9">
        <f>$BU$21</f>
        <v>1</v>
      </c>
      <c r="EJ11" s="9">
        <f>$BU$22</f>
        <v>0</v>
      </c>
      <c r="EK11" s="9">
        <f>$BU$23</f>
        <v>1</v>
      </c>
      <c r="EL11" s="9">
        <f>$BU$24</f>
        <v>0</v>
      </c>
      <c r="EM11" s="9">
        <f>$BU$25</f>
        <v>1</v>
      </c>
      <c r="EN11" s="9">
        <f>$BU$26</f>
        <v>0</v>
      </c>
      <c r="EO11" s="9">
        <f>$BU$27</f>
        <v>1</v>
      </c>
      <c r="EP11" s="9">
        <f>$BU$28</f>
        <v>0</v>
      </c>
      <c r="EQ11" s="10">
        <f>$BU$29</f>
        <v>1</v>
      </c>
      <c r="ER11" s="79"/>
      <c r="ET11" s="86"/>
      <c r="EU11" s="87"/>
      <c r="EV11" s="63"/>
      <c r="EW11" s="63"/>
      <c r="EX11" s="63"/>
      <c r="EY11" s="64"/>
      <c r="FA11" s="69"/>
      <c r="FB11" s="70"/>
    </row>
    <row r="12" spans="1:159" ht="14.25" customHeight="1" thickTop="1" x14ac:dyDescent="0.15">
      <c r="A12" s="1"/>
      <c r="BU12" s="2" t="s">
        <v>23</v>
      </c>
      <c r="BV12" s="2" t="s">
        <v>22</v>
      </c>
      <c r="BW12" s="2" t="s">
        <v>22</v>
      </c>
      <c r="BX12" s="2" t="s">
        <v>22</v>
      </c>
      <c r="BY12" s="2" t="s">
        <v>22</v>
      </c>
      <c r="BZ12" s="2" t="s">
        <v>22</v>
      </c>
      <c r="CA12" s="2" t="s">
        <v>22</v>
      </c>
      <c r="CB12" s="2" t="s">
        <v>22</v>
      </c>
      <c r="DI12" s="78"/>
      <c r="DJ12" s="8">
        <f>mulMat(HEX2DEC($AP$14),HEX2DEC($P$29))</f>
        <v>0</v>
      </c>
      <c r="DK12" s="9">
        <f>mulMat(HEX2DEC($AP$15),HEX2DEC($P$29))</f>
        <v>0</v>
      </c>
      <c r="DL12" s="9">
        <f>mulMat(HEX2DEC($AP$16),HEX2DEC($P$29))</f>
        <v>1</v>
      </c>
      <c r="DM12" s="9">
        <f>mulMat(HEX2DEC($AP$17),HEX2DEC($P$29))</f>
        <v>1</v>
      </c>
      <c r="DN12" s="9">
        <f>mulMat(HEX2DEC($AP$18),HEX2DEC($P$29))</f>
        <v>0</v>
      </c>
      <c r="DO12" s="9">
        <f>mulMat(HEX2DEC($AP$19),HEX2DEC($P$29))</f>
        <v>0</v>
      </c>
      <c r="DP12" s="9">
        <f>mulMat(HEX2DEC($AP$20),HEX2DEC($P$29))</f>
        <v>1</v>
      </c>
      <c r="DQ12" s="9">
        <f>mulMat(HEX2DEC($AP$21),HEX2DEC($P$29))</f>
        <v>1</v>
      </c>
      <c r="DR12" s="9">
        <f>mulMat(HEX2DEC($AP$22),HEX2DEC($P$29))</f>
        <v>0</v>
      </c>
      <c r="DS12" s="9">
        <f>mulMat(HEX2DEC($AP$23),HEX2DEC($P$29))</f>
        <v>0</v>
      </c>
      <c r="DT12" s="9">
        <f>mulMat(HEX2DEC($AP$24),HEX2DEC($P$29))</f>
        <v>1</v>
      </c>
      <c r="DU12" s="9">
        <f>mulMat(HEX2DEC($AP$25),HEX2DEC($P$29))</f>
        <v>1</v>
      </c>
      <c r="DV12" s="9">
        <f>mulMat(HEX2DEC($AP$26),HEX2DEC($P$29))</f>
        <v>0</v>
      </c>
      <c r="DW12" s="9">
        <f>mulMat(HEX2DEC($AP$27),HEX2DEC($P$29))</f>
        <v>0</v>
      </c>
      <c r="DX12" s="9">
        <f>mulMat(HEX2DEC($AP$28),HEX2DEC($P$29))</f>
        <v>1</v>
      </c>
      <c r="DY12" s="10">
        <f>mulMat(HEX2DEC($AP$29),HEX2DEC($P$29))</f>
        <v>1</v>
      </c>
      <c r="DZ12" s="49"/>
      <c r="EA12" s="49"/>
      <c r="EB12" s="8">
        <f>$BV$14</f>
        <v>0</v>
      </c>
      <c r="EC12" s="9">
        <f>$BV$15</f>
        <v>0</v>
      </c>
      <c r="ED12" s="9">
        <f>$BV$16</f>
        <v>1</v>
      </c>
      <c r="EE12" s="9">
        <f>$BV$17</f>
        <v>1</v>
      </c>
      <c r="EF12" s="9">
        <f>$BV$18</f>
        <v>0</v>
      </c>
      <c r="EG12" s="9">
        <f>$BV$19</f>
        <v>0</v>
      </c>
      <c r="EH12" s="9">
        <f>$BV$20</f>
        <v>1</v>
      </c>
      <c r="EI12" s="9">
        <f>$BV$21</f>
        <v>1</v>
      </c>
      <c r="EJ12" s="9">
        <f>$BV$22</f>
        <v>0</v>
      </c>
      <c r="EK12" s="9">
        <f>$BV$23</f>
        <v>0</v>
      </c>
      <c r="EL12" s="9">
        <f>$BV$24</f>
        <v>1</v>
      </c>
      <c r="EM12" s="9">
        <f>$BV$25</f>
        <v>1</v>
      </c>
      <c r="EN12" s="9">
        <f>$BV$26</f>
        <v>0</v>
      </c>
      <c r="EO12" s="9">
        <f>$BV$27</f>
        <v>0</v>
      </c>
      <c r="EP12" s="9">
        <f>$BV$28</f>
        <v>1</v>
      </c>
      <c r="EQ12" s="10">
        <f>$BV$29</f>
        <v>1</v>
      </c>
      <c r="ER12" s="79"/>
      <c r="ET12" s="86"/>
      <c r="EU12" s="87"/>
      <c r="EV12" s="63"/>
      <c r="EW12" s="63"/>
      <c r="EX12" s="63"/>
      <c r="EY12" s="64"/>
      <c r="EZ12" s="3"/>
      <c r="FA12" s="69"/>
      <c r="FB12" s="70"/>
    </row>
    <row r="13" spans="1:159" ht="14.25" thickBot="1" x14ac:dyDescent="0.2">
      <c r="B13" s="2" t="s">
        <v>11</v>
      </c>
      <c r="E13" s="45" t="s">
        <v>64</v>
      </c>
      <c r="I13" s="2" t="s">
        <v>34</v>
      </c>
      <c r="O13" s="2" t="s">
        <v>56</v>
      </c>
      <c r="Y13" s="2" t="s">
        <v>40</v>
      </c>
      <c r="AE13" s="2" t="s">
        <v>35</v>
      </c>
      <c r="AL13" s="2" t="s">
        <v>17</v>
      </c>
      <c r="AR13" s="2" t="s">
        <v>36</v>
      </c>
      <c r="BL13" s="2" t="s">
        <v>4</v>
      </c>
      <c r="BT13" s="2" t="s">
        <v>18</v>
      </c>
      <c r="BU13" s="2" t="s">
        <v>5</v>
      </c>
      <c r="CE13" s="2" t="s">
        <v>65</v>
      </c>
      <c r="CJ13" s="2" t="s">
        <v>67</v>
      </c>
      <c r="CP13" s="2" t="s">
        <v>24</v>
      </c>
      <c r="DI13" s="78"/>
      <c r="DJ13" s="8">
        <f>mulMat(HEX2DEC($AP$14),HEX2DEC($Q$29))</f>
        <v>0</v>
      </c>
      <c r="DK13" s="9">
        <f>mulMat(HEX2DEC($AP$15),HEX2DEC($Q$29))</f>
        <v>0</v>
      </c>
      <c r="DL13" s="9">
        <f>mulMat(HEX2DEC($AP$16),HEX2DEC($Q$29))</f>
        <v>0</v>
      </c>
      <c r="DM13" s="9">
        <f>mulMat(HEX2DEC($AP$17),HEX2DEC($Q$29))</f>
        <v>0</v>
      </c>
      <c r="DN13" s="9">
        <f>mulMat(HEX2DEC($AP$18),HEX2DEC($Q$29))</f>
        <v>1</v>
      </c>
      <c r="DO13" s="9">
        <f>mulMat(HEX2DEC($AP$19),HEX2DEC($Q$29))</f>
        <v>1</v>
      </c>
      <c r="DP13" s="9">
        <f>mulMat(HEX2DEC($AP$20),HEX2DEC($Q$29))</f>
        <v>1</v>
      </c>
      <c r="DQ13" s="9">
        <f>mulMat(HEX2DEC($AP$21),HEX2DEC($Q$29))</f>
        <v>1</v>
      </c>
      <c r="DR13" s="9">
        <f>mulMat(HEX2DEC($AP$22),HEX2DEC($Q$29))</f>
        <v>0</v>
      </c>
      <c r="DS13" s="9">
        <f>mulMat(HEX2DEC($AP$23),HEX2DEC($Q$29))</f>
        <v>0</v>
      </c>
      <c r="DT13" s="9">
        <f>mulMat(HEX2DEC($AP$24),HEX2DEC($Q$29))</f>
        <v>0</v>
      </c>
      <c r="DU13" s="9">
        <f>mulMat(HEX2DEC($AP$25),HEX2DEC($Q$29))</f>
        <v>0</v>
      </c>
      <c r="DV13" s="9">
        <f>mulMat(HEX2DEC($AP$26),HEX2DEC($Q$29))</f>
        <v>1</v>
      </c>
      <c r="DW13" s="9">
        <f>mulMat(HEX2DEC($AP$27),HEX2DEC($Q$29))</f>
        <v>1</v>
      </c>
      <c r="DX13" s="9">
        <f>mulMat(HEX2DEC($AP$28),HEX2DEC($Q$29))</f>
        <v>1</v>
      </c>
      <c r="DY13" s="10">
        <f>mulMat(HEX2DEC($AP$29),HEX2DEC($Q$29))</f>
        <v>1</v>
      </c>
      <c r="DZ13" s="49"/>
      <c r="EA13" s="49"/>
      <c r="EB13" s="8">
        <f>$BW$14</f>
        <v>0</v>
      </c>
      <c r="EC13" s="9">
        <f>$BW$15</f>
        <v>0</v>
      </c>
      <c r="ED13" s="9">
        <f>$BW$16</f>
        <v>0</v>
      </c>
      <c r="EE13" s="9">
        <f>$BW$17</f>
        <v>0</v>
      </c>
      <c r="EF13" s="9">
        <f>$BW$18</f>
        <v>1</v>
      </c>
      <c r="EG13" s="9">
        <f>$BW$19</f>
        <v>1</v>
      </c>
      <c r="EH13" s="9">
        <f>$BW$20</f>
        <v>1</v>
      </c>
      <c r="EI13" s="9">
        <f>$BW$21</f>
        <v>1</v>
      </c>
      <c r="EJ13" s="9">
        <f>$BW$22</f>
        <v>0</v>
      </c>
      <c r="EK13" s="9">
        <f>$BW$23</f>
        <v>0</v>
      </c>
      <c r="EL13" s="9">
        <f>$BW$24</f>
        <v>0</v>
      </c>
      <c r="EM13" s="9">
        <f>$BW$25</f>
        <v>0</v>
      </c>
      <c r="EN13" s="9">
        <f>$BW$26</f>
        <v>1</v>
      </c>
      <c r="EO13" s="9">
        <f>$BW$27</f>
        <v>1</v>
      </c>
      <c r="EP13" s="9">
        <f>$BW$28</f>
        <v>1</v>
      </c>
      <c r="EQ13" s="10">
        <f>$BW$29</f>
        <v>1</v>
      </c>
      <c r="ER13" s="79"/>
      <c r="ET13" s="86"/>
      <c r="EU13" s="87"/>
      <c r="EV13" s="63"/>
      <c r="EW13" s="63"/>
      <c r="EX13" s="63"/>
      <c r="EY13" s="64"/>
      <c r="FA13" s="69"/>
      <c r="FB13" s="70"/>
    </row>
    <row r="14" spans="1:159" ht="15" customHeight="1" thickTop="1" thickBot="1" x14ac:dyDescent="0.2">
      <c r="B14" s="44">
        <v>1</v>
      </c>
      <c r="C14" s="44">
        <v>0</v>
      </c>
      <c r="D14" s="44">
        <v>1</v>
      </c>
      <c r="E14" s="44">
        <v>1</v>
      </c>
      <c r="G14" s="28"/>
      <c r="H14" s="28"/>
      <c r="I14" s="5">
        <v>1</v>
      </c>
      <c r="J14" s="5">
        <v>0</v>
      </c>
      <c r="K14" s="5">
        <v>0</v>
      </c>
      <c r="O14" s="36">
        <f t="shared" ref="O14:R16" si="0">B14</f>
        <v>1</v>
      </c>
      <c r="P14" s="36">
        <f t="shared" si="0"/>
        <v>0</v>
      </c>
      <c r="Q14" s="36">
        <f t="shared" si="0"/>
        <v>1</v>
      </c>
      <c r="R14" s="36">
        <f t="shared" si="0"/>
        <v>1</v>
      </c>
      <c r="S14" s="5">
        <f>I14</f>
        <v>1</v>
      </c>
      <c r="T14" s="5">
        <f t="shared" ref="T14:T16" si="1">J14</f>
        <v>0</v>
      </c>
      <c r="U14" s="5">
        <f t="shared" ref="U14:U16" si="2">K14</f>
        <v>0</v>
      </c>
      <c r="V14" s="37">
        <v>0</v>
      </c>
      <c r="Y14" s="5">
        <f>O25</f>
        <v>1</v>
      </c>
      <c r="Z14" s="5">
        <f>O26</f>
        <v>0</v>
      </c>
      <c r="AA14" s="5">
        <f>O27</f>
        <v>0</v>
      </c>
      <c r="AB14" s="5">
        <f>O28</f>
        <v>0</v>
      </c>
      <c r="AE14" s="6">
        <f>IF(_xlfn.XOR(_xlfn.XOR(_xlfn.XOR(_xlfn.XOR(_xlfn.XOR(_xlfn.XOR($O$14*$Y$14,$P$14*$Y$15),$Q$14*$Y$16),$R$14*$Y$17),$S$14*$Y$18),$T$14*$Y$19),$U$14*$Y$20),1,0)</f>
        <v>0</v>
      </c>
      <c r="AF14" s="6">
        <f>IF(_xlfn.XOR(_xlfn.XOR(_xlfn.XOR(_xlfn.XOR(_xlfn.XOR(_xlfn.XOR($O$15*$Y$14,$P$15*$Y$15),$Q$15*$Y$16),$R$15*$Y$17),$S$15*$Y$18),$T$15*$Y$19),$U$15*$Y$20),1,0)</f>
        <v>0</v>
      </c>
      <c r="AG14" s="6">
        <f>IF(_xlfn.XOR(_xlfn.XOR(_xlfn.XOR(_xlfn.XOR(_xlfn.XOR(_xlfn.XOR($O$16*$Y$14,$P$16*$Y$15),$Q$16*$Y$16),$R$16*$Y$17),$S$16*$Y$18),$T$16*$Y$19),$U$16*$Y$20),1,0)</f>
        <v>0</v>
      </c>
      <c r="AH14" s="2">
        <f>SUM(AE14:AG14)</f>
        <v>0</v>
      </c>
      <c r="AL14" s="7">
        <v>0</v>
      </c>
      <c r="AM14" s="7">
        <v>0</v>
      </c>
      <c r="AN14" s="7">
        <v>0</v>
      </c>
      <c r="AO14" s="7">
        <v>0</v>
      </c>
      <c r="AP14" s="4" t="str">
        <f>DEC2HEX(1*AL14+2*AM14+4*AN14+8*AO14,1)</f>
        <v>0</v>
      </c>
      <c r="AR14" s="8">
        <f>IF(_xlfn.XOR(_xlfn.XOR(_xlfn.XOR($AL$14*$O$25,$AM$14*$O$26),$AN$14*$O$27),$AO$14*$O$28),1,0)</f>
        <v>0</v>
      </c>
      <c r="AS14" s="9">
        <f>IF(_xlfn.XOR(_xlfn.XOR(_xlfn.XOR($AL$15*$O$25,$AM$15*$O$26),$AN$15*$O$27),$AO$15*$O$28),1,0)</f>
        <v>1</v>
      </c>
      <c r="AT14" s="9">
        <f>IF(_xlfn.XOR(_xlfn.XOR(_xlfn.XOR($AL$16*$O$25,$AM$16*$O$26),$AN$16*$O$27),$AO$16*$O$28),1,0)</f>
        <v>0</v>
      </c>
      <c r="AU14" s="9">
        <f>IF(_xlfn.XOR(_xlfn.XOR(_xlfn.XOR($AL$17*$O$25,$AM$17*$O$26),$AN$17*$O$27),$AO$17*$O$28),1,0)</f>
        <v>1</v>
      </c>
      <c r="AV14" s="9">
        <f>IF(_xlfn.XOR(_xlfn.XOR(_xlfn.XOR($AL$18*$O$25,$AM$18*$O$26),$AN$18*$O$27),$AO$18*$O$28),1,0)</f>
        <v>0</v>
      </c>
      <c r="AW14" s="9">
        <f>IF(_xlfn.XOR(_xlfn.XOR(_xlfn.XOR($AL$19*$O$25,$AM$19*$O$26),$AN$19*$O$27),$AO$19*$O$28),1,0)</f>
        <v>1</v>
      </c>
      <c r="AX14" s="9">
        <f>IF(_xlfn.XOR(_xlfn.XOR(_xlfn.XOR($AL$20*$O$25,$AM$20*$O$26),$AN$20*$O$27),$AO$20*$O$28),1,0)</f>
        <v>0</v>
      </c>
      <c r="AY14" s="9">
        <f>IF(_xlfn.XOR(_xlfn.XOR(_xlfn.XOR($AL$21*$O$25,$AM$21*$O$26),$AN$21*$O$27),$AO$21*$O$28),1,0)</f>
        <v>1</v>
      </c>
      <c r="AZ14" s="9">
        <f>IF(_xlfn.XOR(_xlfn.XOR(_xlfn.XOR($AL$22*$O$25,$AM$22*$O$26),$AN$22*$O$27),$AO$22*$O$28),1,0)</f>
        <v>0</v>
      </c>
      <c r="BA14" s="9">
        <f>IF(_xlfn.XOR(_xlfn.XOR(_xlfn.XOR($AL$23*$O$25,$AM$23*$O$26),$AN$23*$O$27),$AO$23*$O$28),1,0)</f>
        <v>1</v>
      </c>
      <c r="BB14" s="9">
        <f>IF(_xlfn.XOR(_xlfn.XOR(_xlfn.XOR($AL$24*$O$25,$AM$24*$O$26),$AN$24*$O$27),$AO$24*$O$28),1,0)</f>
        <v>0</v>
      </c>
      <c r="BC14" s="9">
        <f>IF(_xlfn.XOR(_xlfn.XOR(_xlfn.XOR($AL$25*$O$25,$AM$25*$O$26),$AN$25*$O$27),$AO$25*$O$28),1,0)</f>
        <v>1</v>
      </c>
      <c r="BD14" s="9">
        <f>IF(_xlfn.XOR(_xlfn.XOR(_xlfn.XOR($AL$26*$O$25,$AM$26*$O$26),$AN$26*$O$27),$AO$26*$O$28),1,0)</f>
        <v>0</v>
      </c>
      <c r="BE14" s="9">
        <f>IF(_xlfn.XOR(_xlfn.XOR(_xlfn.XOR($AL$27*$O$25,$AM$27*$O$26),$AN$27*$O$27),$AO$27*$O$28),1,0)</f>
        <v>1</v>
      </c>
      <c r="BF14" s="9">
        <f>IF(_xlfn.XOR(_xlfn.XOR(_xlfn.XOR($AL$28*$O$25,$AM$28*$O$26),$AN$28*$O$27),$AO$28*$O$28),1,0)</f>
        <v>0</v>
      </c>
      <c r="BG14" s="10">
        <f>IF(_xlfn.XOR(_xlfn.XOR(_xlfn.XOR($AL$29*$O$25,$AM$29*$O$26),$AN$29*$O$27),$AO$29*$O$28),1,0)</f>
        <v>1</v>
      </c>
      <c r="BL14" s="7">
        <f>$AR$14</f>
        <v>0</v>
      </c>
      <c r="BM14" s="7">
        <f>$AR$15</f>
        <v>0</v>
      </c>
      <c r="BN14" s="7">
        <f>$AR$16</f>
        <v>0</v>
      </c>
      <c r="BO14" s="7">
        <f>$AR$17</f>
        <v>0</v>
      </c>
      <c r="BP14" s="11">
        <f>$AR$18</f>
        <v>0</v>
      </c>
      <c r="BQ14" s="11">
        <f>$AR$19</f>
        <v>0</v>
      </c>
      <c r="BR14" s="11">
        <f>$AR$20</f>
        <v>0</v>
      </c>
      <c r="BS14" s="12">
        <f>$AR$21</f>
        <v>0</v>
      </c>
      <c r="BT14" s="2" t="s">
        <v>18</v>
      </c>
      <c r="BU14" s="7">
        <f>IF(_xlfn.XOR($BL$14,_xlfn.XOR($BU$10,$BU$11)),1,0)</f>
        <v>0</v>
      </c>
      <c r="BV14" s="7">
        <f>IF(_xlfn.XOR($BM$14,_xlfn.XOR($BV$10,$BV$11)),1,0)</f>
        <v>0</v>
      </c>
      <c r="BW14" s="7">
        <f>IF(_xlfn.XOR($BN$14,_xlfn.XOR($BW$10,$BW$11)),1,0)</f>
        <v>0</v>
      </c>
      <c r="BX14" s="7">
        <f>IF(_xlfn.XOR($BO$14,_xlfn.XOR($BX$10,$BX$11)),1,0)</f>
        <v>0</v>
      </c>
      <c r="BY14" s="11">
        <f>IF(_xlfn.XOR($BP$14,_xlfn.XOR($BY$10,$BY$11)),1,0)</f>
        <v>0</v>
      </c>
      <c r="BZ14" s="11">
        <f>IF(_xlfn.XOR($BQ$14,_xlfn.XOR($BZ$10,$BZ$11)),1,0)</f>
        <v>0</v>
      </c>
      <c r="CA14" s="11">
        <f>IF(_xlfn.XOR($BR$14,_xlfn.XOR($CA$10,$CA$11)),1,0)</f>
        <v>0</v>
      </c>
      <c r="CB14" s="12">
        <f>IF(_xlfn.XOR($BS$14,_xlfn.XOR($CB$10,$CB$11)),1,0)</f>
        <v>0</v>
      </c>
      <c r="CC14" s="46" t="str">
        <f>DEC2HEX(1*BU14 + 2*BV14 + 4*BW14 + 8*BX14 + 16*BY14 + 32*BZ14 + 64*CA14 + 128*CB14, 2)</f>
        <v>00</v>
      </c>
      <c r="CD14" s="47"/>
      <c r="CE14" s="12">
        <f>IF(_xlfn.XOR(_xlfn.XOR(_xlfn.XOR(_xlfn.XOR(_xlfn.XOR(_xlfn.XOR($BU$14,$BV$14),$BW$14),$BX$14),$BY$14),$BZ$14),$CA$14),1,0)</f>
        <v>0</v>
      </c>
      <c r="CF14" s="2" t="str">
        <f>IF(CB14=CE14,"OK","NG!")</f>
        <v>OK</v>
      </c>
      <c r="CJ14" s="14">
        <f>IF(_xlfn.XOR(_xlfn.XOR(_xlfn.XOR(_xlfn.XOR(_xlfn.XOR(_xlfn.XOR($BU$14*$Y$25,$BV$14*$Y$26),$BW$14*$Y$27),$BX$14*$Y$28),$BY$14*$Y$29),$BZ$14*$Y$30),$CA$14*$Y$31),1,0)</f>
        <v>0</v>
      </c>
      <c r="CK14" s="15">
        <f>IF(_xlfn.XOR(_xlfn.XOR(_xlfn.XOR(_xlfn.XOR(_xlfn.XOR(_xlfn.XOR($BU$15*$Y$25,$BV$15*$Y$26),$BW$15*$Y$27),$BX$15*$Y$28),$BY$15*$Y$29),$BZ$15*$Y$30),$CA$15*$Y$31),1,0)</f>
        <v>0</v>
      </c>
      <c r="CL14" s="15">
        <f>IF(_xlfn.XOR(_xlfn.XOR(_xlfn.XOR(_xlfn.XOR(_xlfn.XOR(_xlfn.XOR($BU$16*$Y$25,$BV$16*$Y$26),$BW$16*$Y$27),$BX$16*$Y$28),$BY$16*$Y$29),$BZ$16*$Y$30),$CA$16*$Y$31),1,0)</f>
        <v>0</v>
      </c>
      <c r="CM14" s="15">
        <f>IF(_xlfn.XOR(_xlfn.XOR(_xlfn.XOR(_xlfn.XOR(_xlfn.XOR(_xlfn.XOR($BU$17*$Y$25,$BV$17*$Y$26),$BW$17*$Y$27),$BX$17*$Y$28),$BY$17*$Y$29),$BZ$17*$Y$30),$CA$17*$Y$31),1,0)</f>
        <v>0</v>
      </c>
      <c r="CN14" s="15">
        <f>IF(_xlfn.XOR(_xlfn.XOR(_xlfn.XOR(_xlfn.XOR(_xlfn.XOR(_xlfn.XOR($BU$18*$Y$25,$BV$18*$Y$26),$BW$18*$Y$27),$BX$18*$Y$28),$BY$18*$Y$29),$BZ$18*$Y$30),$CA$18*$Y$31),1,0)</f>
        <v>0</v>
      </c>
      <c r="CO14" s="15">
        <f>IF(_xlfn.XOR(_xlfn.XOR(_xlfn.XOR(_xlfn.XOR(_xlfn.XOR(_xlfn.XOR($BU$19*$Y$25,$BV$19*$Y$26),$BW$19*$Y$27),$BX$19*$Y$28),$BY$19*$Y$29),$BZ$19*$Y$30),$CA$19*$Y$31),1,0)</f>
        <v>0</v>
      </c>
      <c r="CP14" s="15">
        <f>IF(_xlfn.XOR(_xlfn.XOR(_xlfn.XOR(_xlfn.XOR(_xlfn.XOR(_xlfn.XOR($BU$20*$Y$25,$BV$20*$Y$26),$BW$20*$Y$27),$BX$20*$Y$28),$BY$20*$Y$29),$BZ$20*$Y$30),$CA$20*$Y$31),1,0)</f>
        <v>0</v>
      </c>
      <c r="CQ14" s="15">
        <f>IF(_xlfn.XOR(_xlfn.XOR(_xlfn.XOR(_xlfn.XOR(_xlfn.XOR(_xlfn.XOR($BU$21*$Y$25,$BV$21*$Y$26),$BW$21*$Y$27),$BX$21*$Y$28),$BY$21*$Y$29),$BZ$21*$Y$30),$CA$21*$Y$31),1,0)</f>
        <v>0</v>
      </c>
      <c r="CR14" s="15">
        <f>IF(_xlfn.XOR(_xlfn.XOR(_xlfn.XOR(_xlfn.XOR(_xlfn.XOR(_xlfn.XOR($BU$22*$Y$25,$BV$22*$Y$26),$BW$22*$Y$27),$BX$22*$Y$28),$BY$22*$Y$29),$BZ$22*$Y$30),$CA$22*$Y$31),1,0)</f>
        <v>0</v>
      </c>
      <c r="CS14" s="15">
        <f>IF(_xlfn.XOR(_xlfn.XOR(_xlfn.XOR(_xlfn.XOR(_xlfn.XOR(_xlfn.XOR($BU$23*$Y$25,$BV$23*$Y$26),$BW$23*$Y$27),$BX$23*$Y$28),$BY$23*$Y$29),$BZ$23*$Y$30),$CA$23*$Y$31),1,0)</f>
        <v>0</v>
      </c>
      <c r="CT14" s="15">
        <f>IF(_xlfn.XOR(_xlfn.XOR(_xlfn.XOR(_xlfn.XOR(_xlfn.XOR(_xlfn.XOR($BU$24*$Y$25,$BV$24*$Y$26),$BW$24*$Y$27),$BX$24*$Y$28),$BY$24*$Y$29),$BZ$24*$Y$30),$CA$24*$Y$31),1,0)</f>
        <v>0</v>
      </c>
      <c r="CU14" s="15">
        <f>IF(_xlfn.XOR(_xlfn.XOR(_xlfn.XOR(_xlfn.XOR(_xlfn.XOR(_xlfn.XOR($BU$25*$Y$25,$BV$25*$Y$26),$BW$25*$Y$27),$BX$25*$Y$28),$BY$25*$Y$29),$BZ$25*$Y$30),$CA$25*$Y$31),1,0)</f>
        <v>0</v>
      </c>
      <c r="CV14" s="15">
        <f>IF(_xlfn.XOR(_xlfn.XOR(_xlfn.XOR(_xlfn.XOR(_xlfn.XOR(_xlfn.XOR($BU$26*$Y$25,$BV$26*$Y$26),$BW$26*$Y$27),$BX$26*$Y$28),$BY$26*$Y$29),$BZ$26*$Y$30),$CA$26*$Y$31),1,0)</f>
        <v>0</v>
      </c>
      <c r="CW14" s="15">
        <f>IF(_xlfn.XOR(_xlfn.XOR(_xlfn.XOR(_xlfn.XOR(_xlfn.XOR(_xlfn.XOR($BU$27*$Y$25,$BV$27*$Y$26),$BW$27*$Y$27),$BX$27*$Y$28),$BY$27*$Y$29),$BZ$27*$Y$30),$CA$27*$Y$31),1,0)</f>
        <v>0</v>
      </c>
      <c r="CX14" s="15">
        <f>IF(_xlfn.XOR(_xlfn.XOR(_xlfn.XOR(_xlfn.XOR(_xlfn.XOR(_xlfn.XOR($BU$28*$Y$25,$BV$28*$Y$26),$BW$28*$Y$27),$BX$28*$Y$28),$BY$28*$Y$29),$BZ$28*$Y$30),$CA$28*$Y$31),1,0)</f>
        <v>0</v>
      </c>
      <c r="CY14" s="16">
        <f>IF(_xlfn.XOR(_xlfn.XOR(_xlfn.XOR(_xlfn.XOR(_xlfn.XOR(_xlfn.XOR($BU$29*$Y$25,$BV$29*$Y$26),$BW$29*$Y$27),$BX$29*$Y$28),$BY$29*$Y$29),$BZ$29*$Y$30),$CA$29*$Y$31),1,0)</f>
        <v>0</v>
      </c>
      <c r="DI14" s="78"/>
      <c r="DJ14" s="8">
        <f>mulMat(HEX2DEC($AP$14),HEX2DEC($R$29))</f>
        <v>0</v>
      </c>
      <c r="DK14" s="9">
        <f>mulMat(HEX2DEC($AP$15),HEX2DEC($R$29))</f>
        <v>0</v>
      </c>
      <c r="DL14" s="9">
        <f>mulMat(HEX2DEC($AP$16),HEX2DEC($R$29))</f>
        <v>0</v>
      </c>
      <c r="DM14" s="9">
        <f>mulMat(HEX2DEC($AP$17),HEX2DEC($R$29))</f>
        <v>0</v>
      </c>
      <c r="DN14" s="9">
        <f>mulMat(HEX2DEC($AP$18),HEX2DEC($R$29))</f>
        <v>0</v>
      </c>
      <c r="DO14" s="9">
        <f>mulMat(HEX2DEC($AP$19),HEX2DEC($R$29))</f>
        <v>0</v>
      </c>
      <c r="DP14" s="9">
        <f>mulMat(HEX2DEC($AP$20),HEX2DEC($R$29))</f>
        <v>0</v>
      </c>
      <c r="DQ14" s="9">
        <f>mulMat(HEX2DEC($AP$21),HEX2DEC($R$29))</f>
        <v>0</v>
      </c>
      <c r="DR14" s="9">
        <f>mulMat(HEX2DEC($AP$22),HEX2DEC($R$29))</f>
        <v>1</v>
      </c>
      <c r="DS14" s="9">
        <f>mulMat(HEX2DEC($AP$23),HEX2DEC($R$29))</f>
        <v>1</v>
      </c>
      <c r="DT14" s="9">
        <f>mulMat(HEX2DEC($AP$24),HEX2DEC($R$29))</f>
        <v>1</v>
      </c>
      <c r="DU14" s="9">
        <f>mulMat(HEX2DEC($AP$25),HEX2DEC($R$29))</f>
        <v>1</v>
      </c>
      <c r="DV14" s="9">
        <f>mulMat(HEX2DEC($AP$26),HEX2DEC($R$29))</f>
        <v>1</v>
      </c>
      <c r="DW14" s="9">
        <f>mulMat(HEX2DEC($AP$27),HEX2DEC($R$29))</f>
        <v>1</v>
      </c>
      <c r="DX14" s="9">
        <f>mulMat(HEX2DEC($AP$28),HEX2DEC($R$29))</f>
        <v>1</v>
      </c>
      <c r="DY14" s="10">
        <f>mulMat(HEX2DEC($AP$29),HEX2DEC($R$29))</f>
        <v>1</v>
      </c>
      <c r="DZ14" s="49"/>
      <c r="EA14" s="49"/>
      <c r="EB14" s="8">
        <f>$BX$14</f>
        <v>0</v>
      </c>
      <c r="EC14" s="9">
        <f>$BX$15</f>
        <v>0</v>
      </c>
      <c r="ED14" s="9">
        <f>$BX$16</f>
        <v>0</v>
      </c>
      <c r="EE14" s="9">
        <f>$BX$17</f>
        <v>0</v>
      </c>
      <c r="EF14" s="9">
        <f>$BX$18</f>
        <v>0</v>
      </c>
      <c r="EG14" s="9">
        <f>$BX$19</f>
        <v>0</v>
      </c>
      <c r="EH14" s="9">
        <f>$BX$20</f>
        <v>0</v>
      </c>
      <c r="EI14" s="9">
        <f>$BX$21</f>
        <v>0</v>
      </c>
      <c r="EJ14" s="9">
        <f>$BX$22</f>
        <v>1</v>
      </c>
      <c r="EK14" s="9">
        <f>$BX$23</f>
        <v>1</v>
      </c>
      <c r="EL14" s="9">
        <f>$BX$24</f>
        <v>1</v>
      </c>
      <c r="EM14" s="9">
        <f>$BX$25</f>
        <v>1</v>
      </c>
      <c r="EN14" s="9">
        <f>$BX$26</f>
        <v>1</v>
      </c>
      <c r="EO14" s="9">
        <f>$BX$27</f>
        <v>1</v>
      </c>
      <c r="EP14" s="9">
        <f>$BX$28</f>
        <v>1</v>
      </c>
      <c r="EQ14" s="10">
        <f>$BX$29</f>
        <v>1</v>
      </c>
      <c r="ER14" s="79"/>
      <c r="ET14" s="86"/>
      <c r="EU14" s="87"/>
      <c r="EV14" s="63"/>
      <c r="EW14" s="63"/>
      <c r="EX14" s="63"/>
      <c r="EY14" s="64"/>
      <c r="FA14" s="69"/>
      <c r="FB14" s="70"/>
    </row>
    <row r="15" spans="1:159" ht="15" customHeight="1" thickTop="1" thickBot="1" x14ac:dyDescent="0.2">
      <c r="B15" s="44">
        <v>1</v>
      </c>
      <c r="C15" s="44">
        <v>1</v>
      </c>
      <c r="D15" s="44">
        <v>0</v>
      </c>
      <c r="E15" s="44">
        <v>1</v>
      </c>
      <c r="F15" s="28"/>
      <c r="G15" s="28"/>
      <c r="H15" s="28"/>
      <c r="I15" s="5">
        <v>0</v>
      </c>
      <c r="J15" s="5">
        <v>1</v>
      </c>
      <c r="K15" s="5">
        <v>0</v>
      </c>
      <c r="O15" s="36">
        <f t="shared" si="0"/>
        <v>1</v>
      </c>
      <c r="P15" s="36">
        <f t="shared" si="0"/>
        <v>1</v>
      </c>
      <c r="Q15" s="36">
        <f t="shared" si="0"/>
        <v>0</v>
      </c>
      <c r="R15" s="36">
        <f t="shared" si="0"/>
        <v>1</v>
      </c>
      <c r="S15" s="5">
        <f t="shared" ref="S15:S16" si="3">I15</f>
        <v>0</v>
      </c>
      <c r="T15" s="5">
        <f t="shared" si="1"/>
        <v>1</v>
      </c>
      <c r="U15" s="5">
        <f t="shared" si="2"/>
        <v>0</v>
      </c>
      <c r="V15" s="37">
        <v>0</v>
      </c>
      <c r="Y15" s="5">
        <f>P25</f>
        <v>0</v>
      </c>
      <c r="Z15" s="5">
        <f>P26</f>
        <v>1</v>
      </c>
      <c r="AA15" s="5">
        <f>P27</f>
        <v>0</v>
      </c>
      <c r="AB15" s="5">
        <f>P28</f>
        <v>0</v>
      </c>
      <c r="AE15" s="6">
        <f>IF(_xlfn.XOR(_xlfn.XOR(_xlfn.XOR(_xlfn.XOR(_xlfn.XOR(_xlfn.XOR($O$14*$Z$14,$P$14*$Z$15),$Q$14*$Z$16),$R$14*$Z$17),$S$14*$Z$18),$T$14*$Z$19),$U$14*$Z$20),1,0)</f>
        <v>0</v>
      </c>
      <c r="AF15" s="6">
        <f>IF(_xlfn.XOR(_xlfn.XOR(_xlfn.XOR(_xlfn.XOR(_xlfn.XOR(_xlfn.XOR($O$15*$Z$14,$P$15*$Z$15),$Q$15*$Z$16),$R$15*$Z$17),$S$15*$Z$18),$T$15*$Z$19),$U$15*$Z$20),1,0)</f>
        <v>0</v>
      </c>
      <c r="AG15" s="6">
        <f>IF(_xlfn.XOR(_xlfn.XOR(_xlfn.XOR(_xlfn.XOR(_xlfn.XOR(_xlfn.XOR($O$16*$Z$14,$P$16*$Z$15),$Q$16*$Z$16),$R$16*$Z$17),$S$16*$Z$18),$T$16*$Z$19),$U$16*$Z$20),1,0)</f>
        <v>0</v>
      </c>
      <c r="AH15" s="2">
        <f t="shared" ref="AH15:AH17" si="4">SUM(AE15:AG15)</f>
        <v>0</v>
      </c>
      <c r="AL15" s="17">
        <v>1</v>
      </c>
      <c r="AM15" s="17">
        <v>0</v>
      </c>
      <c r="AN15" s="17">
        <v>0</v>
      </c>
      <c r="AO15" s="17">
        <v>0</v>
      </c>
      <c r="AP15" s="4" t="str">
        <f t="shared" ref="AP15:AP29" si="5">DEC2HEX(1*AL15+2*AM15+4*AN15+8*AO15,1)</f>
        <v>1</v>
      </c>
      <c r="AR15" s="8">
        <f>IF(_xlfn.XOR(_xlfn.XOR(_xlfn.XOR($AL$14*$P$25,$AM$14*$P$26),$AN$14*$P$27),$AO$14*$P$28),1,0)</f>
        <v>0</v>
      </c>
      <c r="AS15" s="9">
        <f>IF(_xlfn.XOR(_xlfn.XOR(_xlfn.XOR($AL$15*$P$25,$AM$15*$P$26),$AN$15*$P$27),$AO$15*$P$28),1,0)</f>
        <v>0</v>
      </c>
      <c r="AT15" s="9">
        <f>IF(_xlfn.XOR(_xlfn.XOR(_xlfn.XOR($AL$16*$P$25,$AM$16*$P$26),$AN$16*$P$27),$AO$16*$P$28),1,0)</f>
        <v>1</v>
      </c>
      <c r="AU15" s="9">
        <f>IF(_xlfn.XOR(_xlfn.XOR(_xlfn.XOR($AL$17*$P$25,$AM$17*$P$26),$AN$17*$P$27),$AO$17*$P$28),1,0)</f>
        <v>1</v>
      </c>
      <c r="AV15" s="9">
        <f>IF(_xlfn.XOR(_xlfn.XOR(_xlfn.XOR($AL$18*$P$25,$AM$18*$P$26),$AN$18*$P$27),$AO$18*$P$28),1,0)</f>
        <v>0</v>
      </c>
      <c r="AW15" s="9">
        <f>IF(_xlfn.XOR(_xlfn.XOR(_xlfn.XOR($AL$19*$P$25,$AM$19*$P$26),$AN$19*$P$27),$AO$19*$P$28),1,0)</f>
        <v>0</v>
      </c>
      <c r="AX15" s="9">
        <f>IF(_xlfn.XOR(_xlfn.XOR(_xlfn.XOR($AL$20*$P$25,$AM$20*$P$26),$AN$20*$P$27),$AO$20*$P$28),1,0)</f>
        <v>1</v>
      </c>
      <c r="AY15" s="9">
        <f>IF(_xlfn.XOR(_xlfn.XOR(_xlfn.XOR($AL$21*$P$25,$AM$21*$P$26),$AN$21*$P$27),$AO$21*$P$28),1,0)</f>
        <v>1</v>
      </c>
      <c r="AZ15" s="9">
        <f>IF(_xlfn.XOR(_xlfn.XOR(_xlfn.XOR($AL$22*$P$25,$AM$22*$P$26),$AN$22*$P$27),$AO$22*$P$28),1,0)</f>
        <v>0</v>
      </c>
      <c r="BA15" s="9">
        <f>IF(_xlfn.XOR(_xlfn.XOR(_xlfn.XOR($AL$23*$P$25,$AM$23*$P$26),$AN$23*$P$27),$AO$23*$P$28),1,0)</f>
        <v>0</v>
      </c>
      <c r="BB15" s="9">
        <f>IF(_xlfn.XOR(_xlfn.XOR(_xlfn.XOR($AL$24*$P$25,$AM$24*$P$26),$AN$24*$P$27),$AO$24*$P$28),1,0)</f>
        <v>1</v>
      </c>
      <c r="BC15" s="9">
        <f>IF(_xlfn.XOR(_xlfn.XOR(_xlfn.XOR($AL$25*$P$25,$AM$25*$P$26),$AN$25*$P$27),$AO$25*$P$28),1,0)</f>
        <v>1</v>
      </c>
      <c r="BD15" s="9">
        <f>IF(_xlfn.XOR(_xlfn.XOR(_xlfn.XOR($AL$26*$P$25,$AM$26*$P$26),$AN$26*$P$27),$AO$26*$P$28),1,0)</f>
        <v>0</v>
      </c>
      <c r="BE15" s="9">
        <f>IF(_xlfn.XOR(_xlfn.XOR(_xlfn.XOR($AL$27*$P$25,$AM$27*$P$26),$AN$27*$P$27),$AO$27*$P$28),1,0)</f>
        <v>0</v>
      </c>
      <c r="BF15" s="9">
        <f>IF(_xlfn.XOR(_xlfn.XOR(_xlfn.XOR($AL$28*$P$25,$AM$28*$P$26),$AN$28*$P$27),$AO$28*$P$28),1,0)</f>
        <v>1</v>
      </c>
      <c r="BG15" s="10">
        <f>IF(_xlfn.XOR(_xlfn.XOR(_xlfn.XOR($AL$29*$P$25,$AM$29*$P$26),$AN$29*$P$27),$AO$29*$P$28),1,0)</f>
        <v>1</v>
      </c>
      <c r="BL15" s="17">
        <f>$AS$14</f>
        <v>1</v>
      </c>
      <c r="BM15" s="17">
        <f>$AS$15</f>
        <v>0</v>
      </c>
      <c r="BN15" s="17">
        <f>$AS$16</f>
        <v>0</v>
      </c>
      <c r="BO15" s="17">
        <f>$AS$17</f>
        <v>0</v>
      </c>
      <c r="BP15" s="18">
        <f>$AS$18</f>
        <v>1</v>
      </c>
      <c r="BQ15" s="18">
        <f>$AS$19</f>
        <v>1</v>
      </c>
      <c r="BR15" s="18">
        <f>$AS$20</f>
        <v>0</v>
      </c>
      <c r="BS15" s="19">
        <f>$AS$21</f>
        <v>1</v>
      </c>
      <c r="BT15" s="2" t="s">
        <v>18</v>
      </c>
      <c r="BU15" s="17">
        <f>IF(_xlfn.XOR($BL$15,_xlfn.XOR($BU$10,$BU$11)),1,0)</f>
        <v>1</v>
      </c>
      <c r="BV15" s="17">
        <f>IF(_xlfn.XOR($BM$15,_xlfn.XOR($BV$10,$BV$11)),1,0)</f>
        <v>0</v>
      </c>
      <c r="BW15" s="17">
        <f>IF(_xlfn.XOR($BN$15,_xlfn.XOR($BW$10,$BW$11)),1,0)</f>
        <v>0</v>
      </c>
      <c r="BX15" s="17">
        <f>IF(_xlfn.XOR($BO$15,_xlfn.XOR($BX$10,$BX$11)),1,0)</f>
        <v>0</v>
      </c>
      <c r="BY15" s="18">
        <f>IF(_xlfn.XOR($BP$15,_xlfn.XOR($BY$10,$BY$11)),1,0)</f>
        <v>1</v>
      </c>
      <c r="BZ15" s="18">
        <f>IF(_xlfn.XOR($BQ$15,_xlfn.XOR($BZ$10,$BZ$11)),1,0)</f>
        <v>1</v>
      </c>
      <c r="CA15" s="18">
        <f>IF(_xlfn.XOR($BR$15,_xlfn.XOR($CA$10,$CA$11)),1,0)</f>
        <v>0</v>
      </c>
      <c r="CB15" s="19">
        <f>IF(_xlfn.XOR($BS$15,_xlfn.XOR($CB$10,$CB$11)),1,0)</f>
        <v>1</v>
      </c>
      <c r="CC15" s="46" t="str">
        <f t="shared" ref="CC15:CC29" si="6">DEC2HEX(1*BU15 + 2*BV15 + 4*BW15 + 8*BX15 + 16*BY15 + 32*BZ15 + 64*CA15 + 128*CB15, 2)</f>
        <v>B1</v>
      </c>
      <c r="CD15" s="47"/>
      <c r="CE15" s="19">
        <f>IF(_xlfn.XOR(_xlfn.XOR(_xlfn.XOR(_xlfn.XOR(_xlfn.XOR(_xlfn.XOR($BU$15,$BV$15),$BW$15),$BX$15),$BY$15),$BZ$15),$CA$15),1,0)</f>
        <v>1</v>
      </c>
      <c r="CF15" s="2" t="str">
        <f t="shared" ref="CF15:CF29" si="7">IF(CB15=CE15,"OK","NG!")</f>
        <v>OK</v>
      </c>
      <c r="CJ15" s="14">
        <f>IF(_xlfn.XOR(_xlfn.XOR(_xlfn.XOR(_xlfn.XOR(_xlfn.XOR(_xlfn.XOR($BU$14*$Z$25,$BV$14*$Z$26),$BW$14*$Z$27),$BX$14*$Z$28),$BY$14*$Z$29),$BZ$14*$Z$30),$CA$14*$Z$31),1,0)</f>
        <v>0</v>
      </c>
      <c r="CK15" s="15">
        <f>IF(_xlfn.XOR(_xlfn.XOR(_xlfn.XOR(_xlfn.XOR(_xlfn.XOR(_xlfn.XOR($BU$15*$Z$25,$BV$15*$Z$26),$BW$15*$Z$27),$BX$15*$Z$28),$BY$15*$Z$29),$BZ$15*$Z$30),$CA$15*$Z$31),1,0)</f>
        <v>0</v>
      </c>
      <c r="CL15" s="15">
        <f>IF(_xlfn.XOR(_xlfn.XOR(_xlfn.XOR(_xlfn.XOR(_xlfn.XOR(_xlfn.XOR($BU$16*$Z$25,$BV$16*$Z$26),$BW$16*$Z$27),$BX$16*$Z$28),$BY$16*$Z$29),$BZ$16*$Z$30),$CA$16*$Z$31),1,0)</f>
        <v>0</v>
      </c>
      <c r="CM15" s="15">
        <f>IF(_xlfn.XOR(_xlfn.XOR(_xlfn.XOR(_xlfn.XOR(_xlfn.XOR(_xlfn.XOR($BU$17*$Z$25,$BV$17*$Z$26),$BW$17*$Z$27),$BX$17*$Z$28),$BY$17*$Z$29),$BZ$17*$Z$30),$CA$17*$Z$31),1,0)</f>
        <v>0</v>
      </c>
      <c r="CN15" s="15">
        <f>IF(_xlfn.XOR(_xlfn.XOR(_xlfn.XOR(_xlfn.XOR(_xlfn.XOR(_xlfn.XOR($BU$18*$Z$25,$BV$18*$Z$26),$BW$18*$Z$27),$BX$18*$Z$28),$BY$18*$Z$29),$BZ$18*$Z$30),$CA$18*$Z$31),1,0)</f>
        <v>0</v>
      </c>
      <c r="CO15" s="15">
        <f>IF(_xlfn.XOR(_xlfn.XOR(_xlfn.XOR(_xlfn.XOR(_xlfn.XOR(_xlfn.XOR($BU$19*$Z$25,$BV$19*$Z$26),$BW$19*$Z$27),$BX$19*$Z$28),$BY$19*$Z$29),$BZ$19*$Z$30),$CA$19*$Z$31),1,0)</f>
        <v>0</v>
      </c>
      <c r="CP15" s="15">
        <f>IF(_xlfn.XOR(_xlfn.XOR(_xlfn.XOR(_xlfn.XOR(_xlfn.XOR(_xlfn.XOR($BU$20*$Z$25,$BV$20*$Z$26),$BW$20*$Z$27),$BX$20*$Z$28),$BY$20*$Z$29),$BZ$20*$Z$30),$CA$20*$Z$31),1,0)</f>
        <v>0</v>
      </c>
      <c r="CQ15" s="15">
        <f>IF(_xlfn.XOR(_xlfn.XOR(_xlfn.XOR(_xlfn.XOR(_xlfn.XOR(_xlfn.XOR($BU$21*$Z$25,$BV$21*$Z$26),$BW$21*$Z$27),$BX$21*$Z$28),$BY$21*$Z$29),$BZ$21*$Z$30),$CA$21*$Z$31),1,0)</f>
        <v>0</v>
      </c>
      <c r="CR15" s="15">
        <f>IF(_xlfn.XOR(_xlfn.XOR(_xlfn.XOR(_xlfn.XOR(_xlfn.XOR(_xlfn.XOR($BU$22*$Z$25,$BV$22*$Z$26),$BW$22*$Z$27),$BX$22*$Z$28),$BY$22*$Z$29),$BZ$22*$Z$30),$CA$22*$Z$31),1,0)</f>
        <v>0</v>
      </c>
      <c r="CS15" s="15">
        <f>IF(_xlfn.XOR(_xlfn.XOR(_xlfn.XOR(_xlfn.XOR(_xlfn.XOR(_xlfn.XOR($BU$23*$Z$25,$BV$23*$Z$26),$BW$23*$Z$27),$BX$23*$Z$28),$BY$23*$Z$29),$BZ$23*$Z$30),$CA$23*$Z$31),1,0)</f>
        <v>0</v>
      </c>
      <c r="CT15" s="15">
        <f>IF(_xlfn.XOR(_xlfn.XOR(_xlfn.XOR(_xlfn.XOR(_xlfn.XOR(_xlfn.XOR($BU$24*$Z$25,$BV$24*$Z$26),$BW$24*$Z$27),$BX$24*$Z$28),$BY$24*$Z$29),$BZ$24*$Z$30),$CA$24*$Z$31),1,0)</f>
        <v>0</v>
      </c>
      <c r="CU15" s="15">
        <f>IF(_xlfn.XOR(_xlfn.XOR(_xlfn.XOR(_xlfn.XOR(_xlfn.XOR(_xlfn.XOR($BU$25*$Z$25,$BV$25*$Z$26),$BW$25*$Z$27),$BX$25*$Z$28),$BY$25*$Z$29),$BZ$25*$Z$30),$CA$25*$Z$31),1,0)</f>
        <v>0</v>
      </c>
      <c r="CV15" s="15">
        <f>IF(_xlfn.XOR(_xlfn.XOR(_xlfn.XOR(_xlfn.XOR(_xlfn.XOR(_xlfn.XOR($BU$26*$Z$25,$BV$26*$Z$26),$BW$26*$Z$27),$BX$26*$Z$28),$BY$26*$Z$29),$BZ$26*$Z$30),$CA$26*$Z$31),1,0)</f>
        <v>0</v>
      </c>
      <c r="CW15" s="15">
        <f>IF(_xlfn.XOR(_xlfn.XOR(_xlfn.XOR(_xlfn.XOR(_xlfn.XOR(_xlfn.XOR($BU$27*$Z$25,$BV$27*$Z$26),$BW$27*$Z$27),$BX$27*$Z$28),$BY$27*$Z$29),$BZ$27*$Z$30),$CA$27*$Z$31),1,0)</f>
        <v>0</v>
      </c>
      <c r="CX15" s="15">
        <f>IF(_xlfn.XOR(_xlfn.XOR(_xlfn.XOR(_xlfn.XOR(_xlfn.XOR(_xlfn.XOR($BU$28*$Z$25,$BV$28*$Z$26),$BW$28*$Z$27),$BX$28*$Z$28),$BY$28*$Z$29),$BZ$28*$Z$30),$CA$28*$Z$31),1,0)</f>
        <v>0</v>
      </c>
      <c r="CY15" s="16">
        <f>IF(_xlfn.XOR(_xlfn.XOR(_xlfn.XOR(_xlfn.XOR(_xlfn.XOR(_xlfn.XOR($BU$29*$Z$25,$BV$29*$Z$26),$BW$29*$Z$27),$BX$29*$Z$28),$BY$29*$Z$29),$BZ$29*$Z$30),$CA$29*$Z$31),1,0)</f>
        <v>0</v>
      </c>
      <c r="DI15" s="78"/>
      <c r="DJ15" s="21">
        <f>mulMat(HEX2DEC($AP$14),HEX2DEC($S$29))</f>
        <v>0</v>
      </c>
      <c r="DK15" s="22">
        <f>mulMat(HEX2DEC($AP$15),HEX2DEC($S$29))</f>
        <v>1</v>
      </c>
      <c r="DL15" s="22">
        <f>mulMat(HEX2DEC($AP$16),HEX2DEC($S$29))</f>
        <v>0</v>
      </c>
      <c r="DM15" s="22">
        <f>mulMat(HEX2DEC($AP$17),HEX2DEC($S$29))</f>
        <v>1</v>
      </c>
      <c r="DN15" s="22">
        <f>mulMat(HEX2DEC($AP$18),HEX2DEC($S$29))</f>
        <v>1</v>
      </c>
      <c r="DO15" s="22">
        <f>mulMat(HEX2DEC($AP$19),HEX2DEC($S$29))</f>
        <v>0</v>
      </c>
      <c r="DP15" s="22">
        <f>mulMat(HEX2DEC($AP$20),HEX2DEC($S$29))</f>
        <v>1</v>
      </c>
      <c r="DQ15" s="22">
        <f>mulMat(HEX2DEC($AP$21),HEX2DEC($S$29))</f>
        <v>0</v>
      </c>
      <c r="DR15" s="22">
        <f>mulMat(HEX2DEC($AP$22),HEX2DEC($S$29))</f>
        <v>1</v>
      </c>
      <c r="DS15" s="22">
        <f>mulMat(HEX2DEC($AP$23),HEX2DEC($S$29))</f>
        <v>0</v>
      </c>
      <c r="DT15" s="22">
        <f>mulMat(HEX2DEC($AP$24),HEX2DEC($S$29))</f>
        <v>1</v>
      </c>
      <c r="DU15" s="22">
        <f>mulMat(HEX2DEC($AP$25),HEX2DEC($S$29))</f>
        <v>0</v>
      </c>
      <c r="DV15" s="22">
        <f>mulMat(HEX2DEC($AP$26),HEX2DEC($S$29))</f>
        <v>0</v>
      </c>
      <c r="DW15" s="22">
        <f>mulMat(HEX2DEC($AP$27),HEX2DEC($S$29))</f>
        <v>1</v>
      </c>
      <c r="DX15" s="22">
        <f>mulMat(HEX2DEC($AP$28),HEX2DEC($S$29))</f>
        <v>0</v>
      </c>
      <c r="DY15" s="23">
        <f>mulMat(HEX2DEC($AP$29),HEX2DEC($S$29))</f>
        <v>1</v>
      </c>
      <c r="DZ15" s="49"/>
      <c r="EA15" s="49"/>
      <c r="EB15" s="21">
        <f>$BY$14</f>
        <v>0</v>
      </c>
      <c r="EC15" s="22">
        <f>$BY$15</f>
        <v>1</v>
      </c>
      <c r="ED15" s="22">
        <f>$BY$16</f>
        <v>0</v>
      </c>
      <c r="EE15" s="22">
        <f>$BY$17</f>
        <v>1</v>
      </c>
      <c r="EF15" s="22">
        <f>$BY$18</f>
        <v>1</v>
      </c>
      <c r="EG15" s="22">
        <f>$BY$19</f>
        <v>0</v>
      </c>
      <c r="EH15" s="22">
        <f>$BY$20</f>
        <v>1</v>
      </c>
      <c r="EI15" s="22">
        <f>$BY$21</f>
        <v>0</v>
      </c>
      <c r="EJ15" s="22">
        <f>$BY$22</f>
        <v>1</v>
      </c>
      <c r="EK15" s="22">
        <f>$BY$23</f>
        <v>0</v>
      </c>
      <c r="EL15" s="22">
        <f>$BY$24</f>
        <v>1</v>
      </c>
      <c r="EM15" s="22">
        <f>$BY$25</f>
        <v>0</v>
      </c>
      <c r="EN15" s="22">
        <f>$BY$26</f>
        <v>0</v>
      </c>
      <c r="EO15" s="22">
        <f>$BY$27</f>
        <v>1</v>
      </c>
      <c r="EP15" s="22">
        <f>$BY$28</f>
        <v>0</v>
      </c>
      <c r="EQ15" s="23">
        <f>$BY$29</f>
        <v>1</v>
      </c>
      <c r="ER15" s="79"/>
      <c r="ET15" s="88"/>
      <c r="EU15" s="89"/>
      <c r="EV15" s="65"/>
      <c r="EW15" s="65"/>
      <c r="EX15" s="65"/>
      <c r="EY15" s="66"/>
      <c r="FA15" s="71"/>
      <c r="FB15" s="72"/>
    </row>
    <row r="16" spans="1:159" ht="12.75" thickTop="1" thickBot="1" x14ac:dyDescent="0.2">
      <c r="B16" s="44">
        <v>0</v>
      </c>
      <c r="C16" s="44">
        <v>1</v>
      </c>
      <c r="D16" s="44">
        <v>1</v>
      </c>
      <c r="E16" s="44">
        <v>1</v>
      </c>
      <c r="F16" s="28"/>
      <c r="G16" s="28"/>
      <c r="H16" s="28"/>
      <c r="I16" s="5">
        <v>0</v>
      </c>
      <c r="J16" s="5">
        <v>0</v>
      </c>
      <c r="K16" s="5">
        <v>1</v>
      </c>
      <c r="O16" s="36">
        <f t="shared" si="0"/>
        <v>0</v>
      </c>
      <c r="P16" s="36">
        <f t="shared" si="0"/>
        <v>1</v>
      </c>
      <c r="Q16" s="36">
        <f t="shared" si="0"/>
        <v>1</v>
      </c>
      <c r="R16" s="36">
        <f t="shared" si="0"/>
        <v>1</v>
      </c>
      <c r="S16" s="5">
        <f t="shared" si="3"/>
        <v>0</v>
      </c>
      <c r="T16" s="5">
        <f t="shared" si="1"/>
        <v>0</v>
      </c>
      <c r="U16" s="5">
        <f t="shared" si="2"/>
        <v>1</v>
      </c>
      <c r="V16" s="37">
        <v>0</v>
      </c>
      <c r="Y16" s="5">
        <f>Q25</f>
        <v>0</v>
      </c>
      <c r="Z16" s="5">
        <f>Q26</f>
        <v>0</v>
      </c>
      <c r="AA16" s="5">
        <f>Q27</f>
        <v>1</v>
      </c>
      <c r="AB16" s="5">
        <f>Q28</f>
        <v>0</v>
      </c>
      <c r="AE16" s="6">
        <f>IF(_xlfn.XOR(_xlfn.XOR(_xlfn.XOR(_xlfn.XOR(_xlfn.XOR(_xlfn.XOR($O$14*$AA$14,$P$14*$AA$15),$Q$14*$AA$16),$R$14*$AA$17),$S$14*$AA$18),$T$14*$AA$19),$U$14*$AA$20),1,0)</f>
        <v>0</v>
      </c>
      <c r="AF16" s="6">
        <f>IF(_xlfn.XOR(_xlfn.XOR(_xlfn.XOR(_xlfn.XOR(_xlfn.XOR(_xlfn.XOR($O$15*$AA$14,$P$15*$AA$15),$Q$15*$AA$16),$R$15*$AA$17),$S$15*$AA$18),$T$15*$AA$19),$U$15*$AA$20),1,0)</f>
        <v>0</v>
      </c>
      <c r="AG16" s="6">
        <f>IF(_xlfn.XOR(_xlfn.XOR(_xlfn.XOR(_xlfn.XOR(_xlfn.XOR(_xlfn.XOR($O$16*$AA$14,$P$16*$AA$15),$Q$16*$AA$16),$R$16*$AA$17),$S$16*$AA$18),$T$16*$AA$19),$U$16*$AA$20),1,0)</f>
        <v>0</v>
      </c>
      <c r="AH16" s="2">
        <f t="shared" si="4"/>
        <v>0</v>
      </c>
      <c r="AL16" s="17">
        <v>0</v>
      </c>
      <c r="AM16" s="17">
        <v>1</v>
      </c>
      <c r="AN16" s="17">
        <v>0</v>
      </c>
      <c r="AO16" s="17">
        <v>0</v>
      </c>
      <c r="AP16" s="4" t="str">
        <f t="shared" si="5"/>
        <v>2</v>
      </c>
      <c r="AR16" s="8">
        <f>IF(_xlfn.XOR(_xlfn.XOR(_xlfn.XOR($AL$14*$Q$25,$AM$14*$Q$26),$AN$14*$Q$27),$AO$14*$Q$28),1,0)</f>
        <v>0</v>
      </c>
      <c r="AS16" s="9">
        <f>IF(_xlfn.XOR(_xlfn.XOR(_xlfn.XOR($AL$15*$Q$25,$AM$15*$Q$26),$AN$15*$Q$27),$AO$15*$Q$28),1,0)</f>
        <v>0</v>
      </c>
      <c r="AT16" s="9">
        <f>IF(_xlfn.XOR(_xlfn.XOR(_xlfn.XOR($AL$16*$Q$25,$AM$16*$Q$26),$AN$16*$Q$27),$AO$16*$Q$28),1,0)</f>
        <v>0</v>
      </c>
      <c r="AU16" s="9">
        <f>IF(_xlfn.XOR(_xlfn.XOR(_xlfn.XOR($AL$17*$Q$25,$AM$17*$Q$26),$AN$17*$Q$27),$AO$17*$Q$28),1,0)</f>
        <v>0</v>
      </c>
      <c r="AV16" s="9">
        <f>IF(_xlfn.XOR(_xlfn.XOR(_xlfn.XOR($AL$18*$Q$25,$AM$18*$Q$26),$AN$18*$Q$27),$AO$18*$Q$28),1,0)</f>
        <v>1</v>
      </c>
      <c r="AW16" s="9">
        <f>IF(_xlfn.XOR(_xlfn.XOR(_xlfn.XOR($AL$19*$Q$25,$AM$19*$Q$26),$AN$19*$Q$27),$AO$19*$Q$28),1,0)</f>
        <v>1</v>
      </c>
      <c r="AX16" s="9">
        <f>IF(_xlfn.XOR(_xlfn.XOR(_xlfn.XOR($AL$20*$Q$25,$AM$20*$Q$26),$AN$20*$Q$27),$AO$20*$Q$28),1,0)</f>
        <v>1</v>
      </c>
      <c r="AY16" s="9">
        <f>IF(_xlfn.XOR(_xlfn.XOR(_xlfn.XOR($AL$21*$Q$25,$AM$21*$Q$26),$AN$21*$Q$27),$AO$21*$Q$28),1,0)</f>
        <v>1</v>
      </c>
      <c r="AZ16" s="9">
        <f>IF(_xlfn.XOR(_xlfn.XOR(_xlfn.XOR($AL$22*$Q$25,$AM$22*$Q$26),$AN$22*$Q$27),$AO$22*$Q$28),1,0)</f>
        <v>0</v>
      </c>
      <c r="BA16" s="9">
        <f>IF(_xlfn.XOR(_xlfn.XOR(_xlfn.XOR($AL$23*$Q$25,$AM$23*$Q$26),$AN$23*$Q$27),$AO$23*$Q$28),1,0)</f>
        <v>0</v>
      </c>
      <c r="BB16" s="9">
        <f>IF(_xlfn.XOR(_xlfn.XOR(_xlfn.XOR($AL$24*$Q$25,$AM$24*$Q$26),$AN$24*$Q$27),$AO$24*$Q$28),1,0)</f>
        <v>0</v>
      </c>
      <c r="BC16" s="9">
        <f>IF(_xlfn.XOR(_xlfn.XOR(_xlfn.XOR($AL$25*$Q$25,$AM$25*$Q$26),$AN$25*$Q$27),$AO$25*$Q$28),1,0)</f>
        <v>0</v>
      </c>
      <c r="BD16" s="9">
        <f>IF(_xlfn.XOR(_xlfn.XOR(_xlfn.XOR($AL$26*$Q$25,$AM$26*$Q$26),$AN$26*$Q$27),$AO$26*$Q$28),1,0)</f>
        <v>1</v>
      </c>
      <c r="BE16" s="9">
        <f>IF(_xlfn.XOR(_xlfn.XOR(_xlfn.XOR($AL$27*$Q$25,$AM$27*$Q$26),$AN$27*$Q$27),$AO$27*$Q$28),1,0)</f>
        <v>1</v>
      </c>
      <c r="BF16" s="9">
        <f>IF(_xlfn.XOR(_xlfn.XOR(_xlfn.XOR($AL$28*$Q$25,$AM$28*$Q$26),$AN$28*$Q$27),$AO$28*$Q$28),1,0)</f>
        <v>1</v>
      </c>
      <c r="BG16" s="10">
        <f>IF(_xlfn.XOR(_xlfn.XOR(_xlfn.XOR($AL$29*$Q$25,$AM$29*$Q$26),$AN$29*$Q$27),$AO$29*$Q$28),1,0)</f>
        <v>1</v>
      </c>
      <c r="BL16" s="17">
        <f>$AT$14</f>
        <v>0</v>
      </c>
      <c r="BM16" s="17">
        <f>$AT$15</f>
        <v>1</v>
      </c>
      <c r="BN16" s="17">
        <f>$AT$16</f>
        <v>0</v>
      </c>
      <c r="BO16" s="17">
        <f>$AT$17</f>
        <v>0</v>
      </c>
      <c r="BP16" s="18">
        <f>$AT$18</f>
        <v>0</v>
      </c>
      <c r="BQ16" s="18">
        <f>$AT$19</f>
        <v>1</v>
      </c>
      <c r="BR16" s="18">
        <f>$AT$20</f>
        <v>1</v>
      </c>
      <c r="BS16" s="19">
        <f>$AT$21</f>
        <v>1</v>
      </c>
      <c r="BT16" s="2" t="s">
        <v>18</v>
      </c>
      <c r="BU16" s="17">
        <f>IF(_xlfn.XOR($BL$16,_xlfn.XOR($BU$10,$BU$11)),1,0)</f>
        <v>0</v>
      </c>
      <c r="BV16" s="17">
        <f>IF(_xlfn.XOR($BM$16,_xlfn.XOR($BV$10,$BV$11)),1,0)</f>
        <v>1</v>
      </c>
      <c r="BW16" s="17">
        <f>IF(_xlfn.XOR($BN$16,_xlfn.XOR($BW$10,$BW$11)),1,0)</f>
        <v>0</v>
      </c>
      <c r="BX16" s="17">
        <f>IF(_xlfn.XOR($BO$16,_xlfn.XOR($BX$10,$BX$11)),1,0)</f>
        <v>0</v>
      </c>
      <c r="BY16" s="18">
        <f>IF(_xlfn.XOR($BP$16,_xlfn.XOR($BY$10,$BY$11)),1,0)</f>
        <v>0</v>
      </c>
      <c r="BZ16" s="18">
        <f>IF(_xlfn.XOR($BQ$16,_xlfn.XOR($BZ$10,$BZ$11)),1,0)</f>
        <v>1</v>
      </c>
      <c r="CA16" s="18">
        <f>IF(_xlfn.XOR($BR$16,_xlfn.XOR($CA$10,$CA$11)),1,0)</f>
        <v>1</v>
      </c>
      <c r="CB16" s="19">
        <f>IF(_xlfn.XOR($BS$16,_xlfn.XOR($CB$10,$CB$11)),1,0)</f>
        <v>1</v>
      </c>
      <c r="CC16" s="46" t="str">
        <f t="shared" si="6"/>
        <v>E2</v>
      </c>
      <c r="CD16" s="47"/>
      <c r="CE16" s="19">
        <f>IF(_xlfn.XOR(_xlfn.XOR(_xlfn.XOR(_xlfn.XOR(_xlfn.XOR(_xlfn.XOR($BU$16,$BV$16),$BW$16),$BX$16),$BY$16),$BZ$16),$CA$16),1,0)</f>
        <v>1</v>
      </c>
      <c r="CF16" s="2" t="str">
        <f t="shared" si="7"/>
        <v>OK</v>
      </c>
      <c r="CJ16" s="14">
        <f>IF(_xlfn.XOR(_xlfn.XOR(_xlfn.XOR(_xlfn.XOR(_xlfn.XOR(_xlfn.XOR($BU$14*$AA$25,$BV$14*$AA$26),$BW$14*$AA$27),$BX$14*$AA$28),$BY$14*$AA$29),$BZ$14*$AA$30),$CA$14*$AA$31),1,0)</f>
        <v>0</v>
      </c>
      <c r="CK16" s="15">
        <f>IF(_xlfn.XOR(_xlfn.XOR(_xlfn.XOR(_xlfn.XOR(_xlfn.XOR(_xlfn.XOR($BU$15*$AA$25,$BV$15*$AA$26),$BW$15*$AA$27),$BX$15*$AA$28),$BY$15*$AA$29),$BZ$15*$AA$30),$CA$15*$AA$31),1,0)</f>
        <v>0</v>
      </c>
      <c r="CL16" s="15">
        <f>IF(_xlfn.XOR(_xlfn.XOR(_xlfn.XOR(_xlfn.XOR(_xlfn.XOR(_xlfn.XOR($BU$16*$AA$25,$BV$16*$AA$26),$BW$16*$AA$27),$BX$16*$AA$28),$BY$16*$AA$29),$BZ$16*$AA$30),$CA$16*$AA$31),1,0)</f>
        <v>0</v>
      </c>
      <c r="CM16" s="15">
        <f>IF(_xlfn.XOR(_xlfn.XOR(_xlfn.XOR(_xlfn.XOR(_xlfn.XOR(_xlfn.XOR($BU$17*$AA$25,$BV$17*$AA$26),$BW$17*$AA$27),$BX$17*$AA$28),$BY$17*$AA$29),$BZ$17*$AA$30),$CA$17*$AA$31),1,0)</f>
        <v>0</v>
      </c>
      <c r="CN16" s="15">
        <f>IF(_xlfn.XOR(_xlfn.XOR(_xlfn.XOR(_xlfn.XOR(_xlfn.XOR(_xlfn.XOR($BU$18*$AA$25,$BV$18*$AA$26),$BW$18*$AA$27),$BX$18*$AA$28),$BY$18*$AA$29),$BZ$18*$AA$30),$CA$18*$AA$31),1,0)</f>
        <v>0</v>
      </c>
      <c r="CO16" s="15">
        <f>IF(_xlfn.XOR(_xlfn.XOR(_xlfn.XOR(_xlfn.XOR(_xlfn.XOR(_xlfn.XOR($BU$19*$AA$25,$BV$19*$AA$26),$BW$19*$AA$27),$BX$19*$AA$28),$BY$19*$AA$29),$BZ$19*$AA$30),$CA$19*$AA$31),1,0)</f>
        <v>0</v>
      </c>
      <c r="CP16" s="15">
        <f>IF(_xlfn.XOR(_xlfn.XOR(_xlfn.XOR(_xlfn.XOR(_xlfn.XOR(_xlfn.XOR($BU$20*$AA$25,$BV$20*$AA$26),$BW$20*$AA$27),$BX$20*$AA$28),$BY$20*$AA$29),$BZ$20*$AA$30),$CA$20*$AA$31),1,0)</f>
        <v>0</v>
      </c>
      <c r="CQ16" s="15">
        <f>IF(_xlfn.XOR(_xlfn.XOR(_xlfn.XOR(_xlfn.XOR(_xlfn.XOR(_xlfn.XOR($BU$21*$AA$25,$BV$21*$AA$26),$BW$21*$AA$27),$BX$21*$AA$28),$BY$21*$AA$29),$BZ$21*$AA$30),$CA$21*$AA$31),1,0)</f>
        <v>0</v>
      </c>
      <c r="CR16" s="15">
        <f>IF(_xlfn.XOR(_xlfn.XOR(_xlfn.XOR(_xlfn.XOR(_xlfn.XOR(_xlfn.XOR($BU$22*$AA$25,$BV$22*$AA$26),$BW$22*$AA$27),$BX$22*$AA$28),$BY$22*$AA$29),$BZ$22*$AA$30),$CA$22*$AA$31),1,0)</f>
        <v>0</v>
      </c>
      <c r="CS16" s="15">
        <f>IF(_xlfn.XOR(_xlfn.XOR(_xlfn.XOR(_xlfn.XOR(_xlfn.XOR(_xlfn.XOR($BU$23*$AA$25,$BV$23*$AA$26),$BW$23*$AA$27),$BX$23*$AA$28),$BY$23*$AA$29),$BZ$23*$AA$30),$CA$23*$AA$31),1,0)</f>
        <v>0</v>
      </c>
      <c r="CT16" s="15">
        <f>IF(_xlfn.XOR(_xlfn.XOR(_xlfn.XOR(_xlfn.XOR(_xlfn.XOR(_xlfn.XOR($BU$24*$AA$25,$BV$24*$AA$26),$BW$24*$AA$27),$BX$24*$AA$28),$BY$24*$AA$29),$BZ$24*$AA$30),$CA$24*$AA$31),1,0)</f>
        <v>0</v>
      </c>
      <c r="CU16" s="15">
        <f>IF(_xlfn.XOR(_xlfn.XOR(_xlfn.XOR(_xlfn.XOR(_xlfn.XOR(_xlfn.XOR($BU$25*$AA$25,$BV$25*$AA$26),$BW$25*$AA$27),$BX$25*$AA$28),$BY$25*$AA$29),$BZ$25*$AA$30),$CA$25*$AA$31),1,0)</f>
        <v>0</v>
      </c>
      <c r="CV16" s="15">
        <f>IF(_xlfn.XOR(_xlfn.XOR(_xlfn.XOR(_xlfn.XOR(_xlfn.XOR(_xlfn.XOR($BU$26*$AA$25,$BV$26*$AA$26),$BW$26*$AA$27),$BX$26*$AA$28),$BY$26*$AA$29),$BZ$26*$AA$30),$CA$26*$AA$31),1,0)</f>
        <v>0</v>
      </c>
      <c r="CW16" s="15">
        <f>IF(_xlfn.XOR(_xlfn.XOR(_xlfn.XOR(_xlfn.XOR(_xlfn.XOR(_xlfn.XOR($BU$27*$AA$25,$BV$27*$AA$26),$BW$27*$AA$27),$BX$27*$AA$28),$BY$27*$AA$29),$BZ$27*$AA$30),$CA$27*$AA$31),1,0)</f>
        <v>0</v>
      </c>
      <c r="CX16" s="15">
        <f>IF(_xlfn.XOR(_xlfn.XOR(_xlfn.XOR(_xlfn.XOR(_xlfn.XOR(_xlfn.XOR($BU$28*$AA$25,$BV$28*$AA$26),$BW$28*$AA$27),$BX$28*$AA$28),$BY$28*$AA$29),$BZ$28*$AA$30),$CA$28*$AA$31),1,0)</f>
        <v>0</v>
      </c>
      <c r="CY16" s="16">
        <f>IF(_xlfn.XOR(_xlfn.XOR(_xlfn.XOR(_xlfn.XOR(_xlfn.XOR(_xlfn.XOR($BU$29*$AA$25,$BV$29*$AA$26),$BW$29*$AA$27),$BX$29*$AA$28),$BY$29*$AA$29),$BZ$29*$AA$30),$CA$29*$AA$31),1,0)</f>
        <v>0</v>
      </c>
      <c r="DI16" s="78"/>
      <c r="DJ16" s="21">
        <f>mulMat(HEX2DEC($AP$14),HEX2DEC($T$29))</f>
        <v>0</v>
      </c>
      <c r="DK16" s="22">
        <f>mulMat(HEX2DEC($AP$15),HEX2DEC($T$29))</f>
        <v>1</v>
      </c>
      <c r="DL16" s="22">
        <f>mulMat(HEX2DEC($AP$16),HEX2DEC($T$29))</f>
        <v>1</v>
      </c>
      <c r="DM16" s="22">
        <f>mulMat(HEX2DEC($AP$17),HEX2DEC($T$29))</f>
        <v>0</v>
      </c>
      <c r="DN16" s="22">
        <f>mulMat(HEX2DEC($AP$18),HEX2DEC($T$29))</f>
        <v>0</v>
      </c>
      <c r="DO16" s="22">
        <f>mulMat(HEX2DEC($AP$19),HEX2DEC($T$29))</f>
        <v>1</v>
      </c>
      <c r="DP16" s="22">
        <f>mulMat(HEX2DEC($AP$20),HEX2DEC($T$29))</f>
        <v>1</v>
      </c>
      <c r="DQ16" s="22">
        <f>mulMat(HEX2DEC($AP$21),HEX2DEC($T$29))</f>
        <v>0</v>
      </c>
      <c r="DR16" s="22">
        <f>mulMat(HEX2DEC($AP$22),HEX2DEC($T$29))</f>
        <v>1</v>
      </c>
      <c r="DS16" s="22">
        <f>mulMat(HEX2DEC($AP$23),HEX2DEC($T$29))</f>
        <v>0</v>
      </c>
      <c r="DT16" s="22">
        <f>mulMat(HEX2DEC($AP$24),HEX2DEC($T$29))</f>
        <v>0</v>
      </c>
      <c r="DU16" s="22">
        <f>mulMat(HEX2DEC($AP$25),HEX2DEC($T$29))</f>
        <v>1</v>
      </c>
      <c r="DV16" s="22">
        <f>mulMat(HEX2DEC($AP$26),HEX2DEC($T$29))</f>
        <v>1</v>
      </c>
      <c r="DW16" s="22">
        <f>mulMat(HEX2DEC($AP$27),HEX2DEC($T$29))</f>
        <v>0</v>
      </c>
      <c r="DX16" s="22">
        <f>mulMat(HEX2DEC($AP$28),HEX2DEC($T$29))</f>
        <v>0</v>
      </c>
      <c r="DY16" s="23">
        <f>mulMat(HEX2DEC($AP$29),HEX2DEC($T$29))</f>
        <v>1</v>
      </c>
      <c r="DZ16" s="49"/>
      <c r="EA16" s="49"/>
      <c r="EB16" s="21">
        <f>$BZ$14</f>
        <v>0</v>
      </c>
      <c r="EC16" s="22">
        <f>$BZ$15</f>
        <v>1</v>
      </c>
      <c r="ED16" s="22">
        <f>$BZ$16</f>
        <v>1</v>
      </c>
      <c r="EE16" s="22">
        <f>$BZ$17</f>
        <v>0</v>
      </c>
      <c r="EF16" s="22">
        <f>$BZ$18</f>
        <v>0</v>
      </c>
      <c r="EG16" s="22">
        <f>$BZ$19</f>
        <v>1</v>
      </c>
      <c r="EH16" s="22">
        <f>$BZ$20</f>
        <v>1</v>
      </c>
      <c r="EI16" s="22">
        <f>$BZ$21</f>
        <v>0</v>
      </c>
      <c r="EJ16" s="22">
        <f>$BZ$22</f>
        <v>1</v>
      </c>
      <c r="EK16" s="22">
        <f>$BZ$23</f>
        <v>0</v>
      </c>
      <c r="EL16" s="22">
        <f>$BZ$24</f>
        <v>0</v>
      </c>
      <c r="EM16" s="22">
        <f>$BZ$25</f>
        <v>1</v>
      </c>
      <c r="EN16" s="22">
        <f>$BZ$26</f>
        <v>1</v>
      </c>
      <c r="EO16" s="22">
        <f>$BZ$27</f>
        <v>0</v>
      </c>
      <c r="EP16" s="22">
        <f>$BZ$28</f>
        <v>0</v>
      </c>
      <c r="EQ16" s="23">
        <f>$BZ$29</f>
        <v>1</v>
      </c>
      <c r="ER16" s="79"/>
      <c r="ET16" s="97">
        <v>0</v>
      </c>
      <c r="EU16" s="98" t="str">
        <f>DEC2HEX($ET16,2)</f>
        <v>00</v>
      </c>
      <c r="EV16" s="99" t="str">
        <f>DEC2HEX(syndrome($ET16,HEX2DEC($Y$33),HEX2DEC($Z$33),HEX2DEC($AA$33)),1)</f>
        <v>0</v>
      </c>
      <c r="EW16" s="99">
        <f>errpos(HEX2DEC($EV16),HEX2DEC($O$18),HEX2DEC($P$18),HEX2DEC($Q$18),HEX2DEC($R$18),HEX2DEC($S$18),HEX2DEC($T$18),HEX2DEC($U$18),HEX2DEC($V$18))</f>
        <v>0</v>
      </c>
      <c r="EX16" s="99" t="str">
        <f>IF(isNotAbleCollect(HEX2DEC($EV16),$EW16),"×","-")</f>
        <v>-</v>
      </c>
      <c r="EY16" s="100" t="str">
        <f>DEC2HEX(collectValue($ET16,HEX2DEC($EV16),HEX2DEC($EW16)),2)</f>
        <v>00</v>
      </c>
      <c r="EZ16" s="90">
        <v>1</v>
      </c>
      <c r="FA16" s="106" t="s">
        <v>102</v>
      </c>
      <c r="FB16" s="107">
        <f>COUNTIF($EY$16:$EY$271,$FA16)</f>
        <v>9</v>
      </c>
    </row>
    <row r="17" spans="2:158" ht="12.75" thickTop="1" thickBot="1" x14ac:dyDescent="0.2">
      <c r="B17" s="2" t="s">
        <v>59</v>
      </c>
      <c r="C17" s="4"/>
      <c r="D17" s="4"/>
      <c r="E17" s="4"/>
      <c r="F17" s="4"/>
      <c r="G17" s="4"/>
      <c r="H17" s="4"/>
      <c r="O17" s="38">
        <v>1</v>
      </c>
      <c r="P17" s="38">
        <v>1</v>
      </c>
      <c r="Q17" s="38">
        <v>1</v>
      </c>
      <c r="R17" s="38">
        <v>1</v>
      </c>
      <c r="S17" s="38">
        <v>1</v>
      </c>
      <c r="T17" s="38">
        <v>1</v>
      </c>
      <c r="U17" s="38">
        <v>1</v>
      </c>
      <c r="V17" s="37">
        <v>1</v>
      </c>
      <c r="Y17" s="5">
        <f>R25</f>
        <v>0</v>
      </c>
      <c r="Z17" s="5">
        <f>R26</f>
        <v>0</v>
      </c>
      <c r="AA17" s="5">
        <f>R27</f>
        <v>0</v>
      </c>
      <c r="AB17" s="5">
        <f>R28</f>
        <v>1</v>
      </c>
      <c r="AE17" s="6">
        <f>IF(_xlfn.XOR(_xlfn.XOR(_xlfn.XOR(_xlfn.XOR(_xlfn.XOR(_xlfn.XOR($O$14*$AB$14,$P$14*$AB$15),$Q$14*$AB$16),$R$14*$AB$17),$S$14*$AB$18),$T$14*$AB$19),$U$14*$AB$20),1,0)</f>
        <v>0</v>
      </c>
      <c r="AF17" s="6">
        <f>IF(_xlfn.XOR(_xlfn.XOR(_xlfn.XOR(_xlfn.XOR(_xlfn.XOR(_xlfn.XOR($O$15*$AB$14,$P$15*$AB$15),$Q$15*$AB$16),$R$15*$AB$17),$S$15*$AB$18),$T$15*$AB$19),$U$15*$AB$20),1,0)</f>
        <v>0</v>
      </c>
      <c r="AG17" s="6">
        <f>IF(_xlfn.XOR(_xlfn.XOR(_xlfn.XOR(_xlfn.XOR(_xlfn.XOR(_xlfn.XOR($O$16*$AB$14,$P$16*$AB$15),$Q$16*$AB$16),$R$16*$AB$17),$S$16*$AB$18),$T$16*$AB$19),$U$16*$AB$20),1,0)</f>
        <v>0</v>
      </c>
      <c r="AH17" s="2">
        <f t="shared" si="4"/>
        <v>0</v>
      </c>
      <c r="AL17" s="17">
        <v>1</v>
      </c>
      <c r="AM17" s="17">
        <v>1</v>
      </c>
      <c r="AN17" s="17">
        <v>0</v>
      </c>
      <c r="AO17" s="17">
        <v>0</v>
      </c>
      <c r="AP17" s="4" t="str">
        <f t="shared" si="5"/>
        <v>3</v>
      </c>
      <c r="AR17" s="8">
        <f>IF(_xlfn.XOR(_xlfn.XOR(_xlfn.XOR($AL$14*$R$25,$AM$14*$R$26),$AN$14*$R$27),$AO$14*$R$28),1,0)</f>
        <v>0</v>
      </c>
      <c r="AS17" s="9">
        <f>IF(_xlfn.XOR(_xlfn.XOR(_xlfn.XOR($AL$15*$R$25,$AM$15*$R$26),$AN$15*$R$27),$AO$15*$R$28),1,0)</f>
        <v>0</v>
      </c>
      <c r="AT17" s="9">
        <f>IF(_xlfn.XOR(_xlfn.XOR(_xlfn.XOR($AL$16*$R$25,$AM$16*$R$26),$AN$16*$R$27),$AO$16*$R$28),1,0)</f>
        <v>0</v>
      </c>
      <c r="AU17" s="9">
        <f>IF(_xlfn.XOR(_xlfn.XOR(_xlfn.XOR($AL$17*$R$25,$AM$17*$R$26),$AN$17*$R$27),$AO$17*$R$28),1,0)</f>
        <v>0</v>
      </c>
      <c r="AV17" s="9">
        <f>IF(_xlfn.XOR(_xlfn.XOR(_xlfn.XOR($AL$18*$R$25,$AM$18*$R$26),$AN$18*$R$27),$AO$18*$R$28),1,0)</f>
        <v>0</v>
      </c>
      <c r="AW17" s="9">
        <f>IF(_xlfn.XOR(_xlfn.XOR(_xlfn.XOR($AL$19*$R$25,$AM$19*$R$26),$AN$19*$R$27),$AO$19*$R$28),1,0)</f>
        <v>0</v>
      </c>
      <c r="AX17" s="9">
        <f>IF(_xlfn.XOR(_xlfn.XOR(_xlfn.XOR($AL$20*$R$25,$AM$20*$R$26),$AN$20*$R$27),$AO$20*$R$28),1,0)</f>
        <v>0</v>
      </c>
      <c r="AY17" s="9">
        <f>IF(_xlfn.XOR(_xlfn.XOR(_xlfn.XOR($AL$21*$R$25,$AM$21*$R$26),$AN$21*$R$27),$AO$21*$R$28),1,0)</f>
        <v>0</v>
      </c>
      <c r="AZ17" s="9">
        <f>IF(_xlfn.XOR(_xlfn.XOR(_xlfn.XOR($AL$22*$R$25,$AM$22*$R$26),$AN$22*$R$27),$AO$22*$R$28),1,0)</f>
        <v>1</v>
      </c>
      <c r="BA17" s="9">
        <f>IF(_xlfn.XOR(_xlfn.XOR(_xlfn.XOR($AL$23*$R$25,$AM$23*$R$26),$AN$23*$R$27),$AO$23*$R$28),1,0)</f>
        <v>1</v>
      </c>
      <c r="BB17" s="9">
        <f>IF(_xlfn.XOR(_xlfn.XOR(_xlfn.XOR($AL$24*$R$25,$AM$24*$R$26),$AN$24*$R$27),$AO$24*$R$28),1,0)</f>
        <v>1</v>
      </c>
      <c r="BC17" s="9">
        <f>IF(_xlfn.XOR(_xlfn.XOR(_xlfn.XOR($AL$25*$R$25,$AM$25*$R$26),$AN$25*$R$27),$AO$25*$R$28),1,0)</f>
        <v>1</v>
      </c>
      <c r="BD17" s="9">
        <f>IF(_xlfn.XOR(_xlfn.XOR(_xlfn.XOR($AL$26*$R$25,$AM$26*$R$26),$AN$26*$R$27),$AO$26*$R$28),1,0)</f>
        <v>1</v>
      </c>
      <c r="BE17" s="9">
        <f>IF(_xlfn.XOR(_xlfn.XOR(_xlfn.XOR($AL$27*$R$25,$AM$27*$R$26),$AN$27*$R$27),$AO$27*$R$28),1,0)</f>
        <v>1</v>
      </c>
      <c r="BF17" s="9">
        <f>IF(_xlfn.XOR(_xlfn.XOR(_xlfn.XOR($AL$28*$R$25,$AM$28*$R$26),$AN$28*$R$27),$AO$28*$R$28),1,0)</f>
        <v>1</v>
      </c>
      <c r="BG17" s="10">
        <f>IF(_xlfn.XOR(_xlfn.XOR(_xlfn.XOR($AL$29*$R$25,$AM$29*$R$26),$AN$29*$R$27),$AO$29*$R$28),1,0)</f>
        <v>1</v>
      </c>
      <c r="BL17" s="17">
        <f>$AU$14</f>
        <v>1</v>
      </c>
      <c r="BM17" s="17">
        <f>$AU$15</f>
        <v>1</v>
      </c>
      <c r="BN17" s="17">
        <f>$AU$16</f>
        <v>0</v>
      </c>
      <c r="BO17" s="17">
        <f>$AU$17</f>
        <v>0</v>
      </c>
      <c r="BP17" s="18">
        <f>$AU$18</f>
        <v>1</v>
      </c>
      <c r="BQ17" s="18">
        <f>$AU$19</f>
        <v>0</v>
      </c>
      <c r="BR17" s="18">
        <f>$AU$20</f>
        <v>1</v>
      </c>
      <c r="BS17" s="19">
        <f>$AU$21</f>
        <v>0</v>
      </c>
      <c r="BT17" s="2" t="s">
        <v>18</v>
      </c>
      <c r="BU17" s="17">
        <f>IF(_xlfn.XOR($BL$17,_xlfn.XOR($BU$10,$BU$11)),1,0)</f>
        <v>1</v>
      </c>
      <c r="BV17" s="17">
        <f>IF(_xlfn.XOR($BM$17,_xlfn.XOR($BV$10,$BV$11)),1,0)</f>
        <v>1</v>
      </c>
      <c r="BW17" s="17">
        <f>IF(_xlfn.XOR($BN$17,_xlfn.XOR($BW$10,$BW$11)),1,0)</f>
        <v>0</v>
      </c>
      <c r="BX17" s="17">
        <f>IF(_xlfn.XOR($BO$17,_xlfn.XOR($BX$10,$BX$11)),1,0)</f>
        <v>0</v>
      </c>
      <c r="BY17" s="18">
        <f>IF(_xlfn.XOR($BP$17,_xlfn.XOR($BY$10,$BY$11)),1,0)</f>
        <v>1</v>
      </c>
      <c r="BZ17" s="18">
        <f>IF(_xlfn.XOR($BQ$17,_xlfn.XOR($BZ$10,$BZ$11)),1,0)</f>
        <v>0</v>
      </c>
      <c r="CA17" s="18">
        <f>IF(_xlfn.XOR($BR$17,_xlfn.XOR($CA$10,$CA$11)),1,0)</f>
        <v>1</v>
      </c>
      <c r="CB17" s="19">
        <f>IF(_xlfn.XOR($BS$17,_xlfn.XOR($CB$10,$CB$11)),1,0)</f>
        <v>0</v>
      </c>
      <c r="CC17" s="46" t="str">
        <f t="shared" si="6"/>
        <v>53</v>
      </c>
      <c r="CD17" s="47"/>
      <c r="CE17" s="19">
        <f>IF(_xlfn.XOR(_xlfn.XOR(_xlfn.XOR(_xlfn.XOR(_xlfn.XOR(_xlfn.XOR($BU$17,$BV$17),$BW$17),$BX$17),$BY$17),$BZ$17),$CA$17),1,0)</f>
        <v>0</v>
      </c>
      <c r="CF17" s="2" t="str">
        <f t="shared" si="7"/>
        <v>OK</v>
      </c>
      <c r="CJ17" s="39">
        <f>IF($CB14=$CE14,0,1)</f>
        <v>0</v>
      </c>
      <c r="CK17" s="40">
        <f>IF($CB15=$CE15,0,1)</f>
        <v>0</v>
      </c>
      <c r="CL17" s="40">
        <f>IF($CB16=$CE16,0,1)</f>
        <v>0</v>
      </c>
      <c r="CM17" s="40">
        <f>IF($CB17=$CE17,0,1)</f>
        <v>0</v>
      </c>
      <c r="CN17" s="40">
        <f>IF($CB18=$CE18,0,1)</f>
        <v>0</v>
      </c>
      <c r="CO17" s="40">
        <f>IF($CB19=$CE19,0,1)</f>
        <v>0</v>
      </c>
      <c r="CP17" s="40">
        <f>IF($CB20=$CE20,0,1)</f>
        <v>0</v>
      </c>
      <c r="CQ17" s="40">
        <f>IF($CB21=$CE21,0,1)</f>
        <v>0</v>
      </c>
      <c r="CR17" s="40">
        <f>IF($CB22=$CE22,0,1)</f>
        <v>0</v>
      </c>
      <c r="CS17" s="40">
        <f>IF($CB23=$CE23,0,1)</f>
        <v>0</v>
      </c>
      <c r="CT17" s="40">
        <f>IF($CB24=$CE24,0,1)</f>
        <v>0</v>
      </c>
      <c r="CU17" s="40">
        <f>IF($CB25=$CE25,0,1)</f>
        <v>0</v>
      </c>
      <c r="CV17" s="40">
        <f>IF($CB26=$CE26,0,1)</f>
        <v>0</v>
      </c>
      <c r="CW17" s="40">
        <f>IF($CB27=$CE27,0,1)</f>
        <v>0</v>
      </c>
      <c r="CX17" s="40">
        <f>IF($CB28=$CE28,0,1)</f>
        <v>0</v>
      </c>
      <c r="CY17" s="41">
        <f>IF($CB29=$CE29,0,1)</f>
        <v>0</v>
      </c>
      <c r="CZ17" s="2" t="s">
        <v>63</v>
      </c>
      <c r="DI17" s="78"/>
      <c r="DJ17" s="21">
        <f>mulMat(HEX2DEC($AP$14),HEX2DEC($U$29))</f>
        <v>0</v>
      </c>
      <c r="DK17" s="22">
        <f>mulMat(HEX2DEC($AP$15),HEX2DEC($U$29))</f>
        <v>0</v>
      </c>
      <c r="DL17" s="22">
        <f>mulMat(HEX2DEC($AP$16),HEX2DEC($U$29))</f>
        <v>1</v>
      </c>
      <c r="DM17" s="22">
        <f>mulMat(HEX2DEC($AP$17),HEX2DEC($U$29))</f>
        <v>1</v>
      </c>
      <c r="DN17" s="22">
        <f>mulMat(HEX2DEC($AP$18),HEX2DEC($U$29))</f>
        <v>1</v>
      </c>
      <c r="DO17" s="22">
        <f>mulMat(HEX2DEC($AP$19),HEX2DEC($U$29))</f>
        <v>1</v>
      </c>
      <c r="DP17" s="22">
        <f>mulMat(HEX2DEC($AP$20),HEX2DEC($U$29))</f>
        <v>0</v>
      </c>
      <c r="DQ17" s="22">
        <f>mulMat(HEX2DEC($AP$21),HEX2DEC($U$29))</f>
        <v>0</v>
      </c>
      <c r="DR17" s="22">
        <f>mulMat(HEX2DEC($AP$22),HEX2DEC($U$29))</f>
        <v>1</v>
      </c>
      <c r="DS17" s="22">
        <f>mulMat(HEX2DEC($AP$23),HEX2DEC($U$29))</f>
        <v>1</v>
      </c>
      <c r="DT17" s="22">
        <f>mulMat(HEX2DEC($AP$24),HEX2DEC($U$29))</f>
        <v>0</v>
      </c>
      <c r="DU17" s="22">
        <f>mulMat(HEX2DEC($AP$25),HEX2DEC($U$29))</f>
        <v>0</v>
      </c>
      <c r="DV17" s="22">
        <f>mulMat(HEX2DEC($AP$26),HEX2DEC($U$29))</f>
        <v>0</v>
      </c>
      <c r="DW17" s="22">
        <f>mulMat(HEX2DEC($AP$27),HEX2DEC($U$29))</f>
        <v>0</v>
      </c>
      <c r="DX17" s="22">
        <f>mulMat(HEX2DEC($AP$28),HEX2DEC($U$29))</f>
        <v>1</v>
      </c>
      <c r="DY17" s="23">
        <f>mulMat(HEX2DEC($AP$29),HEX2DEC($U$29))</f>
        <v>1</v>
      </c>
      <c r="DZ17" s="49"/>
      <c r="EA17" s="49"/>
      <c r="EB17" s="21">
        <f>$CA$14</f>
        <v>0</v>
      </c>
      <c r="EC17" s="22">
        <f>$CA$15</f>
        <v>0</v>
      </c>
      <c r="ED17" s="22">
        <f>$CA$16</f>
        <v>1</v>
      </c>
      <c r="EE17" s="22">
        <f>$CA$17</f>
        <v>1</v>
      </c>
      <c r="EF17" s="22">
        <f>$CA$18</f>
        <v>1</v>
      </c>
      <c r="EG17" s="22">
        <f>$CA$19</f>
        <v>1</v>
      </c>
      <c r="EH17" s="22">
        <f>$CA$20</f>
        <v>0</v>
      </c>
      <c r="EI17" s="22">
        <f>$CA$21</f>
        <v>0</v>
      </c>
      <c r="EJ17" s="22">
        <f>$CA$22</f>
        <v>1</v>
      </c>
      <c r="EK17" s="22">
        <f>$CA$23</f>
        <v>1</v>
      </c>
      <c r="EL17" s="22">
        <f>$CA$24</f>
        <v>0</v>
      </c>
      <c r="EM17" s="22">
        <f>$CA$25</f>
        <v>0</v>
      </c>
      <c r="EN17" s="22">
        <f>$CA$26</f>
        <v>0</v>
      </c>
      <c r="EO17" s="22">
        <f>$CA$27</f>
        <v>0</v>
      </c>
      <c r="EP17" s="22">
        <f>$CA$28</f>
        <v>1</v>
      </c>
      <c r="EQ17" s="23">
        <f>$CA$29</f>
        <v>1</v>
      </c>
      <c r="ER17" s="79"/>
      <c r="ET17" s="93">
        <v>1</v>
      </c>
      <c r="EU17" s="94" t="str">
        <f>DEC2HEX($ET17,2)</f>
        <v>01</v>
      </c>
      <c r="EV17" s="95" t="str">
        <f>DEC2HEX(syndrome($ET17,HEX2DEC($Y$33),HEX2DEC($Z$33),HEX2DEC($AA$33)),1)</f>
        <v>B</v>
      </c>
      <c r="EW17" s="95">
        <f>errpos(HEX2DEC($EV17),HEX2DEC($O$18),HEX2DEC($P$18),HEX2DEC($Q$18),HEX2DEC($R$18),HEX2DEC($S$18),HEX2DEC($T$18),HEX2DEC($U$18),HEX2DEC($V$18))</f>
        <v>1</v>
      </c>
      <c r="EX17" s="95" t="str">
        <f>IF(isNotAbleCollect(HEX2DEC($EV17),$EW17),"×","-")</f>
        <v>-</v>
      </c>
      <c r="EY17" s="96" t="str">
        <f>DEC2HEX(collectValue($ET17,HEX2DEC($EV17),HEX2DEC($EW17)),2)</f>
        <v>00</v>
      </c>
      <c r="FA17" s="108" t="s">
        <v>103</v>
      </c>
      <c r="FB17" s="109">
        <f>COUNTIF($EY$16:$EY$271,$FA17)</f>
        <v>9</v>
      </c>
    </row>
    <row r="18" spans="2:158" ht="12.75" thickTop="1" thickBot="1" x14ac:dyDescent="0.2">
      <c r="B18" s="2" t="s">
        <v>60</v>
      </c>
      <c r="O18" s="4" t="str">
        <f>DEC2HEX(1*O14+2*O15+4*O16+8*O17,1)</f>
        <v>B</v>
      </c>
      <c r="P18" s="4" t="str">
        <f t="shared" ref="P18:V18" si="8">DEC2HEX(1*P14+2*P15+4*P16+8*P17,1)</f>
        <v>E</v>
      </c>
      <c r="Q18" s="4" t="str">
        <f t="shared" si="8"/>
        <v>D</v>
      </c>
      <c r="R18" s="4" t="str">
        <f t="shared" si="8"/>
        <v>F</v>
      </c>
      <c r="S18" s="4" t="str">
        <f t="shared" si="8"/>
        <v>9</v>
      </c>
      <c r="T18" s="4" t="str">
        <f t="shared" si="8"/>
        <v>A</v>
      </c>
      <c r="U18" s="4" t="str">
        <f t="shared" si="8"/>
        <v>C</v>
      </c>
      <c r="V18" s="4" t="str">
        <f t="shared" si="8"/>
        <v>8</v>
      </c>
      <c r="Y18" s="36">
        <f>S25</f>
        <v>1</v>
      </c>
      <c r="Z18" s="36">
        <f>S26</f>
        <v>0</v>
      </c>
      <c r="AA18" s="36">
        <f>S27</f>
        <v>1</v>
      </c>
      <c r="AB18" s="36">
        <f>S28</f>
        <v>1</v>
      </c>
      <c r="AE18" s="2">
        <f>SUM(AE14:AE17)</f>
        <v>0</v>
      </c>
      <c r="AF18" s="2">
        <f t="shared" ref="AF18:AH18" si="9">SUM(AF14:AF17)</f>
        <v>0</v>
      </c>
      <c r="AG18" s="2">
        <f t="shared" si="9"/>
        <v>0</v>
      </c>
      <c r="AH18" s="2">
        <f t="shared" si="9"/>
        <v>0</v>
      </c>
      <c r="AL18" s="17">
        <v>0</v>
      </c>
      <c r="AM18" s="17">
        <v>0</v>
      </c>
      <c r="AN18" s="17">
        <v>1</v>
      </c>
      <c r="AO18" s="17">
        <v>0</v>
      </c>
      <c r="AP18" s="4" t="str">
        <f t="shared" si="5"/>
        <v>4</v>
      </c>
      <c r="AR18" s="21">
        <f>IF(_xlfn.XOR(_xlfn.XOR(_xlfn.XOR($AL$14*$S$25,$AM$14*$S$26),$AN$14*$S$27),$AO$14*$S$28),1,0)</f>
        <v>0</v>
      </c>
      <c r="AS18" s="22">
        <f>IF(_xlfn.XOR(_xlfn.XOR(_xlfn.XOR($AL$15*$S$25,$AM$15*$S$26),$AN$15*$S$27),$AO$15*$S$28),1,0)</f>
        <v>1</v>
      </c>
      <c r="AT18" s="22">
        <f>IF(_xlfn.XOR(_xlfn.XOR(_xlfn.XOR($AL$16*$S$25,$AM$16*$S$26),$AN$16*$S$27),$AO$16*$S$28),1,0)</f>
        <v>0</v>
      </c>
      <c r="AU18" s="22">
        <f>IF(_xlfn.XOR(_xlfn.XOR(_xlfn.XOR($AL$17*$S$25,$AM$17*$S$26),$AN$17*$S$27),$AO$17*$S$28),1,0)</f>
        <v>1</v>
      </c>
      <c r="AV18" s="22">
        <f>IF(_xlfn.XOR(_xlfn.XOR(_xlfn.XOR($AL$18*$S$25,$AM$18*$S$26),$AN$18*$S$27),$AO$18*$S$28),1,0)</f>
        <v>1</v>
      </c>
      <c r="AW18" s="22">
        <f>IF(_xlfn.XOR(_xlfn.XOR(_xlfn.XOR($AL$19*$S$25,$AM$19*$S$26),$AN$19*$S$27),$AO$19*$S$28),1,0)</f>
        <v>0</v>
      </c>
      <c r="AX18" s="22">
        <f>IF(_xlfn.XOR(_xlfn.XOR(_xlfn.XOR($AL$20*$S$25,$AM$20*$S$26),$AN$20*$S$27),$AO$20*$S$28),1,0)</f>
        <v>1</v>
      </c>
      <c r="AY18" s="22">
        <f>IF(_xlfn.XOR(_xlfn.XOR(_xlfn.XOR($AL$21*$S$25,$AM$21*$S$26),$AN$21*$S$27),$AO$21*$S$28),1,0)</f>
        <v>0</v>
      </c>
      <c r="AZ18" s="22">
        <f>IF(_xlfn.XOR(_xlfn.XOR(_xlfn.XOR($AL$22*$S$25,$AM$22*$S$26),$AN$22*$S$27),$AO$22*$S$28),1,0)</f>
        <v>1</v>
      </c>
      <c r="BA18" s="22">
        <f>IF(_xlfn.XOR(_xlfn.XOR(_xlfn.XOR($AL$23*$S$25,$AM$23*$S$26),$AN$23*$S$27),$AO$23*$S$28),1,0)</f>
        <v>0</v>
      </c>
      <c r="BB18" s="22">
        <f>IF(_xlfn.XOR(_xlfn.XOR(_xlfn.XOR($AL$24*$S$25,$AM$24*$S$26),$AN$24*$S$27),$AO$24*$S$28),1,0)</f>
        <v>1</v>
      </c>
      <c r="BC18" s="22">
        <f>IF(_xlfn.XOR(_xlfn.XOR(_xlfn.XOR($AL$25*$S$25,$AM$25*$S$26),$AN$25*$S$27),$AO$25*$S$28),1,0)</f>
        <v>0</v>
      </c>
      <c r="BD18" s="22">
        <f>IF(_xlfn.XOR(_xlfn.XOR(_xlfn.XOR($AL$26*$S$25,$AM$26*$S$26),$AN$26*$S$27),$AO$26*$S$28),1,0)</f>
        <v>0</v>
      </c>
      <c r="BE18" s="22">
        <f>IF(_xlfn.XOR(_xlfn.XOR(_xlfn.XOR($AL$27*$S$25,$AM$27*$S$26),$AN$27*$S$27),$AO$27*$S$28),1,0)</f>
        <v>1</v>
      </c>
      <c r="BF18" s="22">
        <f>IF(_xlfn.XOR(_xlfn.XOR(_xlfn.XOR($AL$28*$S$25,$AM$28*$S$26),$AN$28*$S$27),$AO$28*$S$28),1,0)</f>
        <v>0</v>
      </c>
      <c r="BG18" s="23">
        <f>IF(_xlfn.XOR(_xlfn.XOR(_xlfn.XOR($AL$29*$S$25,$AM$29*$S$26),$AN$29*$S$27),$AO$29*$S$28),1,0)</f>
        <v>1</v>
      </c>
      <c r="BL18" s="17">
        <f>$AV$14</f>
        <v>0</v>
      </c>
      <c r="BM18" s="17">
        <f>$AV$15</f>
        <v>0</v>
      </c>
      <c r="BN18" s="17">
        <f>$AV$16</f>
        <v>1</v>
      </c>
      <c r="BO18" s="17">
        <f>$AV$17</f>
        <v>0</v>
      </c>
      <c r="BP18" s="18">
        <f>$AV$18</f>
        <v>1</v>
      </c>
      <c r="BQ18" s="18">
        <f>$AV$19</f>
        <v>0</v>
      </c>
      <c r="BR18" s="18">
        <f>$AV$20</f>
        <v>1</v>
      </c>
      <c r="BS18" s="19">
        <f>$AV$21</f>
        <v>1</v>
      </c>
      <c r="BT18" s="2" t="s">
        <v>18</v>
      </c>
      <c r="BU18" s="17">
        <f>IF(_xlfn.XOR($BL$18,_xlfn.XOR($BU$10,$BU$11)),1,0)</f>
        <v>0</v>
      </c>
      <c r="BV18" s="17">
        <f>IF(_xlfn.XOR($BM$18,_xlfn.XOR($BV$10,$BV$11)),1,0)</f>
        <v>0</v>
      </c>
      <c r="BW18" s="17">
        <f>IF(_xlfn.XOR($BN$18,_xlfn.XOR($BW$10,$BW$11)),1,0)</f>
        <v>1</v>
      </c>
      <c r="BX18" s="17">
        <f>IF(_xlfn.XOR($BO$18,_xlfn.XOR($BX$10,$BX$11)),1,0)</f>
        <v>0</v>
      </c>
      <c r="BY18" s="18">
        <f>IF(_xlfn.XOR($BP$18,_xlfn.XOR($BY$10,$BY$11)),1,0)</f>
        <v>1</v>
      </c>
      <c r="BZ18" s="18">
        <f>IF(_xlfn.XOR($BQ$18,_xlfn.XOR($BZ$10,$BZ$11)),1,0)</f>
        <v>0</v>
      </c>
      <c r="CA18" s="18">
        <f>IF(_xlfn.XOR($BR$18,_xlfn.XOR($CA$10,$CA$11)),1,0)</f>
        <v>1</v>
      </c>
      <c r="CB18" s="19">
        <f>IF(_xlfn.XOR($BS$18,_xlfn.XOR($CB$10,$CB$11)),1,0)</f>
        <v>1</v>
      </c>
      <c r="CC18" s="46" t="str">
        <f t="shared" si="6"/>
        <v>D4</v>
      </c>
      <c r="CD18" s="47"/>
      <c r="CE18" s="19">
        <f>IF(_xlfn.XOR(_xlfn.XOR(_xlfn.XOR(_xlfn.XOR(_xlfn.XOR(_xlfn.XOR($BU$18,$BV$18),$BW$18),$BX$18),$BY$18),$BZ$18),$CA$18),1,0)</f>
        <v>1</v>
      </c>
      <c r="CF18" s="2" t="str">
        <f t="shared" si="7"/>
        <v>OK</v>
      </c>
      <c r="CJ18" s="4" t="str">
        <f>DEC2HEX(1*CJ14+2*CJ15+4*CJ16+8*CJ17,1)</f>
        <v>0</v>
      </c>
      <c r="CK18" s="4" t="str">
        <f t="shared" ref="CK18:CY18" si="10">DEC2HEX(1*CK14+2*CK15+4*CK16+8*CK17,1)</f>
        <v>0</v>
      </c>
      <c r="CL18" s="4" t="str">
        <f t="shared" si="10"/>
        <v>0</v>
      </c>
      <c r="CM18" s="4" t="str">
        <f t="shared" si="10"/>
        <v>0</v>
      </c>
      <c r="CN18" s="4" t="str">
        <f t="shared" si="10"/>
        <v>0</v>
      </c>
      <c r="CO18" s="4" t="str">
        <f t="shared" si="10"/>
        <v>0</v>
      </c>
      <c r="CP18" s="4" t="str">
        <f t="shared" si="10"/>
        <v>0</v>
      </c>
      <c r="CQ18" s="4" t="str">
        <f t="shared" si="10"/>
        <v>0</v>
      </c>
      <c r="CR18" s="4" t="str">
        <f t="shared" si="10"/>
        <v>0</v>
      </c>
      <c r="CS18" s="4" t="str">
        <f t="shared" si="10"/>
        <v>0</v>
      </c>
      <c r="CT18" s="4" t="str">
        <f t="shared" si="10"/>
        <v>0</v>
      </c>
      <c r="CU18" s="4" t="str">
        <f t="shared" si="10"/>
        <v>0</v>
      </c>
      <c r="CV18" s="4" t="str">
        <f t="shared" si="10"/>
        <v>0</v>
      </c>
      <c r="CW18" s="4" t="str">
        <f t="shared" si="10"/>
        <v>0</v>
      </c>
      <c r="CX18" s="4" t="str">
        <f t="shared" si="10"/>
        <v>0</v>
      </c>
      <c r="CY18" s="4" t="str">
        <f t="shared" si="10"/>
        <v>0</v>
      </c>
      <c r="DI18" s="78"/>
      <c r="DJ18" s="25">
        <f>parity(DJ11:DJ17)</f>
        <v>0</v>
      </c>
      <c r="DK18" s="26">
        <f t="shared" ref="DK18:DY18" si="11">parity(DK11:DK17)</f>
        <v>1</v>
      </c>
      <c r="DL18" s="26">
        <f t="shared" si="11"/>
        <v>1</v>
      </c>
      <c r="DM18" s="26">
        <f t="shared" si="11"/>
        <v>0</v>
      </c>
      <c r="DN18" s="26">
        <f t="shared" si="11"/>
        <v>1</v>
      </c>
      <c r="DO18" s="26">
        <f t="shared" si="11"/>
        <v>0</v>
      </c>
      <c r="DP18" s="26">
        <f t="shared" si="11"/>
        <v>0</v>
      </c>
      <c r="DQ18" s="26">
        <f t="shared" si="11"/>
        <v>1</v>
      </c>
      <c r="DR18" s="26">
        <f t="shared" si="11"/>
        <v>0</v>
      </c>
      <c r="DS18" s="26">
        <f t="shared" si="11"/>
        <v>1</v>
      </c>
      <c r="DT18" s="26">
        <f t="shared" si="11"/>
        <v>1</v>
      </c>
      <c r="DU18" s="26">
        <f t="shared" si="11"/>
        <v>0</v>
      </c>
      <c r="DV18" s="26">
        <f t="shared" si="11"/>
        <v>1</v>
      </c>
      <c r="DW18" s="26">
        <f t="shared" si="11"/>
        <v>0</v>
      </c>
      <c r="DX18" s="26">
        <f t="shared" si="11"/>
        <v>0</v>
      </c>
      <c r="DY18" s="27">
        <f t="shared" si="11"/>
        <v>1</v>
      </c>
      <c r="DZ18" s="49"/>
      <c r="EA18" s="49"/>
      <c r="EB18" s="25">
        <f>$CB$14</f>
        <v>0</v>
      </c>
      <c r="EC18" s="26">
        <f>$CB$15</f>
        <v>1</v>
      </c>
      <c r="ED18" s="26">
        <f>$CB$16</f>
        <v>1</v>
      </c>
      <c r="EE18" s="26">
        <f>$CB$17</f>
        <v>0</v>
      </c>
      <c r="EF18" s="26">
        <f>$CB$18</f>
        <v>1</v>
      </c>
      <c r="EG18" s="26">
        <f>$CB$19</f>
        <v>0</v>
      </c>
      <c r="EH18" s="26">
        <f>$CB$20</f>
        <v>0</v>
      </c>
      <c r="EI18" s="26">
        <f>$CB$21</f>
        <v>1</v>
      </c>
      <c r="EJ18" s="26">
        <f>$CB$22</f>
        <v>0</v>
      </c>
      <c r="EK18" s="26">
        <f>$CB$23</f>
        <v>1</v>
      </c>
      <c r="EL18" s="26">
        <f>$CB$24</f>
        <v>1</v>
      </c>
      <c r="EM18" s="26">
        <f>$CB$25</f>
        <v>0</v>
      </c>
      <c r="EN18" s="26">
        <f>$CB$26</f>
        <v>1</v>
      </c>
      <c r="EO18" s="26">
        <f>$CB$27</f>
        <v>0</v>
      </c>
      <c r="EP18" s="26">
        <f>$CB$28</f>
        <v>0</v>
      </c>
      <c r="EQ18" s="27">
        <f>$CB$29</f>
        <v>1</v>
      </c>
      <c r="ER18" s="79"/>
      <c r="ET18" s="93">
        <v>2</v>
      </c>
      <c r="EU18" s="94" t="str">
        <f>DEC2HEX($ET18,2)</f>
        <v>02</v>
      </c>
      <c r="EV18" s="95" t="str">
        <f>DEC2HEX(syndrome($ET18,HEX2DEC($Y$33),HEX2DEC($Z$33),HEX2DEC($AA$33)),1)</f>
        <v>E</v>
      </c>
      <c r="EW18" s="95">
        <f>errpos(HEX2DEC($EV18),HEX2DEC($O$18),HEX2DEC($P$18),HEX2DEC($Q$18),HEX2DEC($R$18),HEX2DEC($S$18),HEX2DEC($T$18),HEX2DEC($U$18),HEX2DEC($V$18))</f>
        <v>2</v>
      </c>
      <c r="EX18" s="95" t="str">
        <f>IF(isNotAbleCollect(HEX2DEC($EV18),$EW18),"×","-")</f>
        <v>-</v>
      </c>
      <c r="EY18" s="96" t="str">
        <f>DEC2HEX(collectValue($ET18,HEX2DEC($EV18),HEX2DEC($EW18)),2)</f>
        <v>00</v>
      </c>
      <c r="FA18" s="108" t="s">
        <v>104</v>
      </c>
      <c r="FB18" s="109">
        <f>COUNTIF($EY$16:$EY$271,$FA18)</f>
        <v>9</v>
      </c>
    </row>
    <row r="19" spans="2:158" ht="14.25" thickTop="1" thickBot="1" x14ac:dyDescent="0.2">
      <c r="B19" s="2" t="s">
        <v>62</v>
      </c>
      <c r="O19" s="2" t="s">
        <v>94</v>
      </c>
      <c r="Y19" s="36">
        <f>T25</f>
        <v>1</v>
      </c>
      <c r="Z19" s="36">
        <f>T26</f>
        <v>1</v>
      </c>
      <c r="AA19" s="36">
        <f>T27</f>
        <v>0</v>
      </c>
      <c r="AB19" s="36">
        <f>T28</f>
        <v>1</v>
      </c>
      <c r="AE19" s="2" t="s">
        <v>31</v>
      </c>
      <c r="AL19" s="17">
        <v>1</v>
      </c>
      <c r="AM19" s="17">
        <v>0</v>
      </c>
      <c r="AN19" s="17">
        <v>1</v>
      </c>
      <c r="AO19" s="17">
        <v>0</v>
      </c>
      <c r="AP19" s="4" t="str">
        <f t="shared" si="5"/>
        <v>5</v>
      </c>
      <c r="AR19" s="21">
        <f>IF(_xlfn.XOR(_xlfn.XOR(_xlfn.XOR($AL$14*$T$25,$AM$14*$T$26),$AN$14*$T$27),$AO$14*$T$28),1,0)</f>
        <v>0</v>
      </c>
      <c r="AS19" s="22">
        <f>IF(_xlfn.XOR(_xlfn.XOR(_xlfn.XOR($AL$15*$T$25,$AM$15*$T$26),$AN$15*$T$27),$AO$15*$T$28),1,0)</f>
        <v>1</v>
      </c>
      <c r="AT19" s="22">
        <f>IF(_xlfn.XOR(_xlfn.XOR(_xlfn.XOR($AL$16*$T$25,$AM$16*$T$26),$AN$16*$T$27),$AO$16*$T$28),1,0)</f>
        <v>1</v>
      </c>
      <c r="AU19" s="22">
        <f>IF(_xlfn.XOR(_xlfn.XOR(_xlfn.XOR($AL$17*$T$25,$AM$17*$T$26),$AN$17*$T$27),$AO$17*$T$28),1,0)</f>
        <v>0</v>
      </c>
      <c r="AV19" s="22">
        <f>IF(_xlfn.XOR(_xlfn.XOR(_xlfn.XOR($AL$18*$T$25,$AM$18*$T$26),$AN$18*$T$27),$AO$18*$T$28),1,0)</f>
        <v>0</v>
      </c>
      <c r="AW19" s="22">
        <f>IF(_xlfn.XOR(_xlfn.XOR(_xlfn.XOR($AL$19*$T$25,$AM$19*$T$26),$AN$19*$T$27),$AO$19*$T$28),1,0)</f>
        <v>1</v>
      </c>
      <c r="AX19" s="22">
        <f>IF(_xlfn.XOR(_xlfn.XOR(_xlfn.XOR($AL$20*$T$25,$AM$20*$T$26),$AN$20*$T$27),$AO$20*$T$28),1,0)</f>
        <v>1</v>
      </c>
      <c r="AY19" s="22">
        <f>IF(_xlfn.XOR(_xlfn.XOR(_xlfn.XOR($AL$21*$T$25,$AM$21*$T$26),$AN$21*$T$27),$AO$21*$T$28),1,0)</f>
        <v>0</v>
      </c>
      <c r="AZ19" s="22">
        <f>IF(_xlfn.XOR(_xlfn.XOR(_xlfn.XOR($AL$22*$T$25,$AM$22*$T$26),$AN$22*$T$27),$AO$22*$T$28),1,0)</f>
        <v>1</v>
      </c>
      <c r="BA19" s="22">
        <f>IF(_xlfn.XOR(_xlfn.XOR(_xlfn.XOR($AL$23*$T$25,$AM$23*$T$26),$AN$23*$T$27),$AO$23*$T$28),1,0)</f>
        <v>0</v>
      </c>
      <c r="BB19" s="22">
        <f>IF(_xlfn.XOR(_xlfn.XOR(_xlfn.XOR($AL$24*$T$25,$AM$24*$T$26),$AN$24*$T$27),$AO$24*$T$28),1,0)</f>
        <v>0</v>
      </c>
      <c r="BC19" s="22">
        <f>IF(_xlfn.XOR(_xlfn.XOR(_xlfn.XOR($AL$25*$T$25,$AM$25*$T$26),$AN$25*$T$27),$AO$25*$T$28),1,0)</f>
        <v>1</v>
      </c>
      <c r="BD19" s="22">
        <f>IF(_xlfn.XOR(_xlfn.XOR(_xlfn.XOR($AL$26*$T$25,$AM$26*$T$26),$AN$26*$T$27),$AO$26*$T$28),1,0)</f>
        <v>1</v>
      </c>
      <c r="BE19" s="22">
        <f>IF(_xlfn.XOR(_xlfn.XOR(_xlfn.XOR($AL$27*$T$25,$AM$27*$T$26),$AN$27*$T$27),$AO$27*$T$28),1,0)</f>
        <v>0</v>
      </c>
      <c r="BF19" s="22">
        <f>IF(_xlfn.XOR(_xlfn.XOR(_xlfn.XOR($AL$28*$T$25,$AM$28*$T$26),$AN$28*$T$27),$AO$28*$T$28),1,0)</f>
        <v>0</v>
      </c>
      <c r="BG19" s="23">
        <f>IF(_xlfn.XOR(_xlfn.XOR(_xlfn.XOR($AL$29*$T$25,$AM$29*$T$26),$AN$29*$T$27),$AO$29*$T$28),1,0)</f>
        <v>1</v>
      </c>
      <c r="BL19" s="17">
        <f>$AW$14</f>
        <v>1</v>
      </c>
      <c r="BM19" s="17">
        <f>$AW$15</f>
        <v>0</v>
      </c>
      <c r="BN19" s="17">
        <f>$AW$16</f>
        <v>1</v>
      </c>
      <c r="BO19" s="17">
        <f>$AW$17</f>
        <v>0</v>
      </c>
      <c r="BP19" s="18">
        <f>$AW$18</f>
        <v>0</v>
      </c>
      <c r="BQ19" s="18">
        <f>$AW$19</f>
        <v>1</v>
      </c>
      <c r="BR19" s="18">
        <f>$AW$20</f>
        <v>1</v>
      </c>
      <c r="BS19" s="19">
        <f>$AW$21</f>
        <v>0</v>
      </c>
      <c r="BT19" s="2" t="s">
        <v>18</v>
      </c>
      <c r="BU19" s="17">
        <f>IF(_xlfn.XOR($BL$19,_xlfn.XOR($BU$10,$BU$11)),1,0)</f>
        <v>1</v>
      </c>
      <c r="BV19" s="17">
        <f>IF(_xlfn.XOR($BM$19,_xlfn.XOR($BV$10,$BV$11)),1,0)</f>
        <v>0</v>
      </c>
      <c r="BW19" s="17">
        <f>IF(_xlfn.XOR($BN$19,_xlfn.XOR($BW$10,$BW$11)),1,0)</f>
        <v>1</v>
      </c>
      <c r="BX19" s="17">
        <f>IF(_xlfn.XOR($BO$19,_xlfn.XOR($BX$10,$BX$11)),1,0)</f>
        <v>0</v>
      </c>
      <c r="BY19" s="18">
        <f>IF(_xlfn.XOR($BP$19,_xlfn.XOR($BY$10,$BY$11)),1,0)</f>
        <v>0</v>
      </c>
      <c r="BZ19" s="18">
        <f>IF(_xlfn.XOR($BQ$19,_xlfn.XOR($BZ$10,$BZ$11)),1,0)</f>
        <v>1</v>
      </c>
      <c r="CA19" s="18">
        <f>IF(_xlfn.XOR($BR$19,_xlfn.XOR($CA$10,$CA$11)),1,0)</f>
        <v>1</v>
      </c>
      <c r="CB19" s="19">
        <f>IF(_xlfn.XOR($BS$19,_xlfn.XOR($CB$10,$CB$11)),1,0)</f>
        <v>0</v>
      </c>
      <c r="CC19" s="46" t="str">
        <f t="shared" si="6"/>
        <v>65</v>
      </c>
      <c r="CD19" s="47"/>
      <c r="CE19" s="19">
        <f>IF(_xlfn.XOR(_xlfn.XOR(_xlfn.XOR(_xlfn.XOR(_xlfn.XOR(_xlfn.XOR($BU$19,$BV$19),$BW$19),$BX$19),$BY$19),$BZ$19),$CA$19),1,0)</f>
        <v>0</v>
      </c>
      <c r="CF19" s="2" t="str">
        <f t="shared" si="7"/>
        <v>OK</v>
      </c>
      <c r="CJ19" s="4" t="str">
        <f t="shared" ref="CJ19:CY19" si="12">IF(AND(CJ$14=$U$14,CJ$15=$U15,CJ$16=$U$16,CJ$17=$U$17),7,IF(AND(CJ$14=$T$14,CJ$15=$T15,CJ$16=$T$16,CJ$17=$T$17),6,IF(AND(CJ$14=$S$14,CJ$15=$S15,CJ$16=$S$16,CJ$17=$S$17),5,IF(AND(CJ$14=$R$14,CJ$15=$R15,CJ$16=$R$16,CJ$17=$R$17),4,IF(AND(CJ$14=$Q$14,CJ$15=$Q15,CJ$16=$Q$16,CJ$17=$Q$17),3,IF(AND(CJ$14=$P$14,CJ$15=$P15,CJ$16=$P$16,CJ$17=$P$17),2,IF(AND(CJ$14=$O$14,CJ$15=$O15,CJ$16=$O$16,CJ$17=$O$17),1,"-")))))))</f>
        <v>-</v>
      </c>
      <c r="CK19" s="4" t="str">
        <f t="shared" si="12"/>
        <v>-</v>
      </c>
      <c r="CL19" s="4" t="str">
        <f t="shared" si="12"/>
        <v>-</v>
      </c>
      <c r="CM19" s="4" t="str">
        <f t="shared" si="12"/>
        <v>-</v>
      </c>
      <c r="CN19" s="4" t="str">
        <f t="shared" si="12"/>
        <v>-</v>
      </c>
      <c r="CO19" s="4" t="str">
        <f t="shared" si="12"/>
        <v>-</v>
      </c>
      <c r="CP19" s="4" t="str">
        <f t="shared" si="12"/>
        <v>-</v>
      </c>
      <c r="CQ19" s="4" t="str">
        <f t="shared" si="12"/>
        <v>-</v>
      </c>
      <c r="CR19" s="4" t="str">
        <f t="shared" si="12"/>
        <v>-</v>
      </c>
      <c r="CS19" s="4" t="str">
        <f t="shared" si="12"/>
        <v>-</v>
      </c>
      <c r="CT19" s="4" t="str">
        <f t="shared" si="12"/>
        <v>-</v>
      </c>
      <c r="CU19" s="4" t="str">
        <f t="shared" si="12"/>
        <v>-</v>
      </c>
      <c r="CV19" s="4" t="str">
        <f t="shared" si="12"/>
        <v>-</v>
      </c>
      <c r="CW19" s="4" t="str">
        <f t="shared" si="12"/>
        <v>-</v>
      </c>
      <c r="CX19" s="4" t="str">
        <f t="shared" si="12"/>
        <v>-</v>
      </c>
      <c r="CY19" s="4" t="str">
        <f t="shared" si="12"/>
        <v>-</v>
      </c>
      <c r="CZ19" s="2" t="s">
        <v>19</v>
      </c>
      <c r="DI19" s="78"/>
      <c r="DJ19" s="80" t="str">
        <f>DEC2HEX(bit2int(DJ11:DJ18),2)</f>
        <v>00</v>
      </c>
      <c r="DK19" s="80" t="str">
        <f>DEC2HEX(bit2int(DK11:DK18),2)</f>
        <v>B1</v>
      </c>
      <c r="DL19" s="80" t="str">
        <f t="shared" ref="DL19:DY19" si="13">DEC2HEX(bit2int(DL11:DL18),2)</f>
        <v>E2</v>
      </c>
      <c r="DM19" s="80" t="str">
        <f t="shared" si="13"/>
        <v>53</v>
      </c>
      <c r="DN19" s="80" t="str">
        <f t="shared" si="13"/>
        <v>D4</v>
      </c>
      <c r="DO19" s="80" t="str">
        <f t="shared" si="13"/>
        <v>65</v>
      </c>
      <c r="DP19" s="80" t="str">
        <f t="shared" si="13"/>
        <v>36</v>
      </c>
      <c r="DQ19" s="80" t="str">
        <f t="shared" si="13"/>
        <v>87</v>
      </c>
      <c r="DR19" s="80" t="str">
        <f t="shared" si="13"/>
        <v>78</v>
      </c>
      <c r="DS19" s="80" t="str">
        <f t="shared" si="13"/>
        <v>C9</v>
      </c>
      <c r="DT19" s="80" t="str">
        <f t="shared" si="13"/>
        <v>9A</v>
      </c>
      <c r="DU19" s="80" t="str">
        <f t="shared" si="13"/>
        <v>2B</v>
      </c>
      <c r="DV19" s="80" t="str">
        <f t="shared" si="13"/>
        <v>AC</v>
      </c>
      <c r="DW19" s="80" t="str">
        <f t="shared" si="13"/>
        <v>1D</v>
      </c>
      <c r="DX19" s="80" t="str">
        <f t="shared" si="13"/>
        <v>4E</v>
      </c>
      <c r="DY19" s="80" t="str">
        <f t="shared" si="13"/>
        <v>FF</v>
      </c>
      <c r="DZ19" s="49"/>
      <c r="EA19" s="49"/>
      <c r="EB19" s="80" t="str">
        <f>$CC$14</f>
        <v>00</v>
      </c>
      <c r="EC19" s="80" t="str">
        <f>$CC$15</f>
        <v>B1</v>
      </c>
      <c r="ED19" s="80" t="str">
        <f>$CC$16</f>
        <v>E2</v>
      </c>
      <c r="EE19" s="80" t="str">
        <f>$CC$17</f>
        <v>53</v>
      </c>
      <c r="EF19" s="80" t="str">
        <f>$CC$18</f>
        <v>D4</v>
      </c>
      <c r="EG19" s="80" t="str">
        <f>$CC$19</f>
        <v>65</v>
      </c>
      <c r="EH19" s="80" t="str">
        <f>$CC$20</f>
        <v>36</v>
      </c>
      <c r="EI19" s="80" t="str">
        <f>$CC$21</f>
        <v>87</v>
      </c>
      <c r="EJ19" s="80" t="str">
        <f>$CC$22</f>
        <v>78</v>
      </c>
      <c r="EK19" s="80" t="str">
        <f>$CC$23</f>
        <v>C9</v>
      </c>
      <c r="EL19" s="80" t="str">
        <f>$CC$24</f>
        <v>9A</v>
      </c>
      <c r="EM19" s="80" t="str">
        <f>$CC$25</f>
        <v>2B</v>
      </c>
      <c r="EN19" s="80" t="str">
        <f>$CC$26</f>
        <v>AC</v>
      </c>
      <c r="EO19" s="80" t="str">
        <f>$CC$27</f>
        <v>1D</v>
      </c>
      <c r="EP19" s="80" t="str">
        <f>$CC$28</f>
        <v>4E</v>
      </c>
      <c r="EQ19" s="80" t="str">
        <f>$CC$29</f>
        <v>FF</v>
      </c>
      <c r="ER19" s="79"/>
      <c r="ET19" s="93">
        <v>3</v>
      </c>
      <c r="EU19" s="94" t="str">
        <f>DEC2HEX($ET19,2)</f>
        <v>03</v>
      </c>
      <c r="EV19" s="95" t="str">
        <f>DEC2HEX(syndrome($ET19,HEX2DEC($Y$33),HEX2DEC($Z$33),HEX2DEC($AA$33)),1)</f>
        <v>5</v>
      </c>
      <c r="EW19" s="95">
        <f>errpos(HEX2DEC($EV19),HEX2DEC($O$18),HEX2DEC($P$18),HEX2DEC($Q$18),HEX2DEC($R$18),HEX2DEC($S$18),HEX2DEC($T$18),HEX2DEC($U$18),HEX2DEC($V$18))</f>
        <v>0</v>
      </c>
      <c r="EX19" s="95" t="str">
        <f>IF(isNotAbleCollect(HEX2DEC($EV19),$EW19),"×","-")</f>
        <v>×</v>
      </c>
      <c r="EY19" s="96" t="str">
        <f>DEC2HEX(collectValue($ET19,HEX2DEC($EV19),HEX2DEC($EW19)),2)</f>
        <v>FF</v>
      </c>
      <c r="FA19" s="108" t="s">
        <v>105</v>
      </c>
      <c r="FB19" s="109">
        <f>COUNTIF($EY$16:$EY$271,$FA19)</f>
        <v>9</v>
      </c>
    </row>
    <row r="20" spans="2:158" ht="12.75" thickTop="1" thickBot="1" x14ac:dyDescent="0.2">
      <c r="O20" s="2" t="s">
        <v>53</v>
      </c>
      <c r="X20" s="24"/>
      <c r="Y20" s="36">
        <f>U25</f>
        <v>0</v>
      </c>
      <c r="Z20" s="36">
        <f>U26</f>
        <v>1</v>
      </c>
      <c r="AA20" s="36">
        <f>U27</f>
        <v>1</v>
      </c>
      <c r="AB20" s="36">
        <f>U28</f>
        <v>1</v>
      </c>
      <c r="AL20" s="17">
        <v>0</v>
      </c>
      <c r="AM20" s="17">
        <v>1</v>
      </c>
      <c r="AN20" s="17">
        <v>1</v>
      </c>
      <c r="AO20" s="17">
        <v>0</v>
      </c>
      <c r="AP20" s="4" t="str">
        <f t="shared" si="5"/>
        <v>6</v>
      </c>
      <c r="AR20" s="21">
        <f>IF(_xlfn.XOR(_xlfn.XOR(_xlfn.XOR($AL$14*$U$25,$AM$14*$U$26),$AN$14*$U$27),$AO$14*$U$28),1,0)</f>
        <v>0</v>
      </c>
      <c r="AS20" s="22">
        <f>IF(_xlfn.XOR(_xlfn.XOR(_xlfn.XOR($AL$15*$U$25,$AM$15*$U$26),$AN$15*$U$27),$AO$15*$U$28),1,0)</f>
        <v>0</v>
      </c>
      <c r="AT20" s="22">
        <f>IF(_xlfn.XOR(_xlfn.XOR(_xlfn.XOR($AL$16*$U$25,$AM$16*$U$26),$AN$16*$U$27),$AO$16*$U$28),1,0)</f>
        <v>1</v>
      </c>
      <c r="AU20" s="22">
        <f>IF(_xlfn.XOR(_xlfn.XOR(_xlfn.XOR($AL$17*$U$25,$AM$17*$U$26),$AN$17*$U$27),$AO$17*$U$28),1,0)</f>
        <v>1</v>
      </c>
      <c r="AV20" s="22">
        <f>IF(_xlfn.XOR(_xlfn.XOR(_xlfn.XOR($AL$18*$U$25,$AM$18*$U$26),$AN$18*$U$27),$AO$18*$U$28),1,0)</f>
        <v>1</v>
      </c>
      <c r="AW20" s="22">
        <f>IF(_xlfn.XOR(_xlfn.XOR(_xlfn.XOR($AL$19*$U$25,$AM$19*$U$26),$AN$19*$U$27),$AO$19*$U$28),1,0)</f>
        <v>1</v>
      </c>
      <c r="AX20" s="22">
        <f>IF(_xlfn.XOR(_xlfn.XOR(_xlfn.XOR($AL$20*$U$25,$AM$20*$U$26),$AN$20*$U$27),$AO$20*$U$28),1,0)</f>
        <v>0</v>
      </c>
      <c r="AY20" s="22">
        <f>IF(_xlfn.XOR(_xlfn.XOR(_xlfn.XOR($AL$21*$U$25,$AM$21*$U$26),$AN$21*$U$27),$AO$21*$U$28),1,0)</f>
        <v>0</v>
      </c>
      <c r="AZ20" s="22">
        <f>IF(_xlfn.XOR(_xlfn.XOR(_xlfn.XOR($AL$22*$U$25,$AM$22*$U$26),$AN$22*$U$27),$AO$22*$U$28),1,0)</f>
        <v>1</v>
      </c>
      <c r="BA20" s="22">
        <f>IF(_xlfn.XOR(_xlfn.XOR(_xlfn.XOR($AL$23*$U$25,$AM$23*$U$26),$AN$23*$U$27),$AO$23*$U$28),1,0)</f>
        <v>1</v>
      </c>
      <c r="BB20" s="22">
        <f>IF(_xlfn.XOR(_xlfn.XOR(_xlfn.XOR($AL$24*$U$25,$AM$24*$U$26),$AN$24*$U$27),$AO$24*$U$28),1,0)</f>
        <v>0</v>
      </c>
      <c r="BC20" s="22">
        <f>IF(_xlfn.XOR(_xlfn.XOR(_xlfn.XOR($AL$25*$U$25,$AM$25*$U$26),$AN$25*$U$27),$AO$25*$U$28),1,0)</f>
        <v>0</v>
      </c>
      <c r="BD20" s="22">
        <f>IF(_xlfn.XOR(_xlfn.XOR(_xlfn.XOR($AL$26*$U$25,$AM$26*$U$26),$AN$26*$U$27),$AO$26*$U$28),1,0)</f>
        <v>0</v>
      </c>
      <c r="BE20" s="22">
        <f>IF(_xlfn.XOR(_xlfn.XOR(_xlfn.XOR($AL$27*$U$25,$AM$27*$U$26),$AN$27*$U$27),$AO$27*$U$28),1,0)</f>
        <v>0</v>
      </c>
      <c r="BF20" s="22">
        <f>IF(_xlfn.XOR(_xlfn.XOR(_xlfn.XOR($AL$28*$U$25,$AM$28*$U$26),$AN$28*$U$27),$AO$28*$U$28),1,0)</f>
        <v>1</v>
      </c>
      <c r="BG20" s="23">
        <f>IF(_xlfn.XOR(_xlfn.XOR(_xlfn.XOR($AL$29*$U$25,$AM$29*$U$26),$AN$29*$U$27),$AO$29*$U$28),1,0)</f>
        <v>1</v>
      </c>
      <c r="BL20" s="17">
        <f>$AX$14</f>
        <v>0</v>
      </c>
      <c r="BM20" s="17">
        <f>$AX$15</f>
        <v>1</v>
      </c>
      <c r="BN20" s="17">
        <f>$AX$16</f>
        <v>1</v>
      </c>
      <c r="BO20" s="17">
        <f>$AX$17</f>
        <v>0</v>
      </c>
      <c r="BP20" s="18">
        <f>$AX$18</f>
        <v>1</v>
      </c>
      <c r="BQ20" s="18">
        <f>$AX$19</f>
        <v>1</v>
      </c>
      <c r="BR20" s="18">
        <f>$AX$20</f>
        <v>0</v>
      </c>
      <c r="BS20" s="19">
        <f>$AX$21</f>
        <v>0</v>
      </c>
      <c r="BT20" s="2" t="s">
        <v>18</v>
      </c>
      <c r="BU20" s="17">
        <f>IF(_xlfn.XOR($BL$20,_xlfn.XOR($BU$10,$BU$11)),1,0)</f>
        <v>0</v>
      </c>
      <c r="BV20" s="17">
        <f>IF(_xlfn.XOR($BM$20,_xlfn.XOR($BV$10,$BV$11)),1,0)</f>
        <v>1</v>
      </c>
      <c r="BW20" s="17">
        <f>IF(_xlfn.XOR($BN$20,_xlfn.XOR($BW$10,$BW$11)),1,0)</f>
        <v>1</v>
      </c>
      <c r="BX20" s="17">
        <f>IF(_xlfn.XOR($BO$20,_xlfn.XOR($BX$10,$BX$11)),1,0)</f>
        <v>0</v>
      </c>
      <c r="BY20" s="18">
        <f>IF(_xlfn.XOR($BP$20,_xlfn.XOR($BY$10,$BY$11)),1,0)</f>
        <v>1</v>
      </c>
      <c r="BZ20" s="18">
        <f>IF(_xlfn.XOR($BQ$20,_xlfn.XOR($BZ$10,$BZ$11)),1,0)</f>
        <v>1</v>
      </c>
      <c r="CA20" s="18">
        <f>IF(_xlfn.XOR($BR$20,_xlfn.XOR($CA$10,$CA$11)),1,0)</f>
        <v>0</v>
      </c>
      <c r="CB20" s="19">
        <f>IF(_xlfn.XOR($BS$20,_xlfn.XOR($CB$10,$CB$11)),1,0)</f>
        <v>0</v>
      </c>
      <c r="CC20" s="46" t="str">
        <f t="shared" si="6"/>
        <v>36</v>
      </c>
      <c r="CD20" s="47"/>
      <c r="CE20" s="19">
        <f>IF(_xlfn.XOR(_xlfn.XOR(_xlfn.XOR(_xlfn.XOR(_xlfn.XOR(_xlfn.XOR($BU$20,$BV$20),$BW$20),$BX$20),$BY$20),$BZ$20),$CA$20),1,0)</f>
        <v>0</v>
      </c>
      <c r="CF20" s="2" t="str">
        <f t="shared" si="7"/>
        <v>OK</v>
      </c>
      <c r="CJ20" s="4" t="str">
        <f>IF(AND(CJ18&lt;&gt;"0",CJ19="-"),"×","-")</f>
        <v>-</v>
      </c>
      <c r="CK20" s="4" t="str">
        <f t="shared" ref="CK20:CY20" si="14">IF(AND(CK18&lt;&gt;"0",CK19="-"),"×","-")</f>
        <v>-</v>
      </c>
      <c r="CL20" s="4" t="str">
        <f t="shared" si="14"/>
        <v>-</v>
      </c>
      <c r="CM20" s="4" t="str">
        <f t="shared" si="14"/>
        <v>-</v>
      </c>
      <c r="CN20" s="4" t="str">
        <f t="shared" si="14"/>
        <v>-</v>
      </c>
      <c r="CO20" s="4" t="str">
        <f t="shared" si="14"/>
        <v>-</v>
      </c>
      <c r="CP20" s="4" t="str">
        <f t="shared" si="14"/>
        <v>-</v>
      </c>
      <c r="CQ20" s="4" t="str">
        <f t="shared" si="14"/>
        <v>-</v>
      </c>
      <c r="CR20" s="4" t="str">
        <f t="shared" si="14"/>
        <v>-</v>
      </c>
      <c r="CS20" s="4" t="str">
        <f t="shared" si="14"/>
        <v>-</v>
      </c>
      <c r="CT20" s="4" t="str">
        <f t="shared" si="14"/>
        <v>-</v>
      </c>
      <c r="CU20" s="4" t="str">
        <f t="shared" si="14"/>
        <v>-</v>
      </c>
      <c r="CV20" s="4" t="str">
        <f t="shared" si="14"/>
        <v>-</v>
      </c>
      <c r="CW20" s="4" t="str">
        <f t="shared" si="14"/>
        <v>-</v>
      </c>
      <c r="CX20" s="4" t="str">
        <f t="shared" si="14"/>
        <v>-</v>
      </c>
      <c r="CY20" s="4" t="str">
        <f t="shared" si="14"/>
        <v>-</v>
      </c>
      <c r="CZ20" s="2" t="s">
        <v>92</v>
      </c>
      <c r="DI20" s="81"/>
      <c r="DJ20" s="82"/>
      <c r="DK20" s="82"/>
      <c r="DL20" s="82"/>
      <c r="DM20" s="82"/>
      <c r="DN20" s="82"/>
      <c r="DO20" s="82"/>
      <c r="DP20" s="82"/>
      <c r="DQ20" s="82"/>
      <c r="DR20" s="82"/>
      <c r="DS20" s="82"/>
      <c r="DT20" s="82"/>
      <c r="DU20" s="82"/>
      <c r="DV20" s="49"/>
      <c r="DW20" s="49"/>
      <c r="DX20" s="49"/>
      <c r="DY20" s="49"/>
      <c r="DZ20" s="49"/>
      <c r="EA20" s="80" t="s">
        <v>76</v>
      </c>
      <c r="EB20" s="80" t="str">
        <f>DEC2HEX(syndrome(HEX2DEC(EB19),HEX2DEC($Y$33),HEX2DEC($Z$33),HEX2DEC($AA$33)),1)</f>
        <v>0</v>
      </c>
      <c r="EC20" s="80" t="str">
        <f t="shared" ref="EC20:EQ20" si="15">DEC2HEX(syndrome(HEX2DEC(EC19),HEX2DEC($Y$33),HEX2DEC($Z$33),HEX2DEC($AA$33)),1)</f>
        <v>0</v>
      </c>
      <c r="ED20" s="80" t="str">
        <f t="shared" si="15"/>
        <v>0</v>
      </c>
      <c r="EE20" s="80" t="str">
        <f t="shared" si="15"/>
        <v>0</v>
      </c>
      <c r="EF20" s="80" t="str">
        <f t="shared" si="15"/>
        <v>0</v>
      </c>
      <c r="EG20" s="80" t="str">
        <f t="shared" si="15"/>
        <v>0</v>
      </c>
      <c r="EH20" s="80" t="str">
        <f t="shared" si="15"/>
        <v>0</v>
      </c>
      <c r="EI20" s="80" t="str">
        <f t="shared" si="15"/>
        <v>0</v>
      </c>
      <c r="EJ20" s="80" t="str">
        <f t="shared" si="15"/>
        <v>0</v>
      </c>
      <c r="EK20" s="80" t="str">
        <f t="shared" si="15"/>
        <v>0</v>
      </c>
      <c r="EL20" s="80" t="str">
        <f t="shared" si="15"/>
        <v>0</v>
      </c>
      <c r="EM20" s="80" t="str">
        <f t="shared" si="15"/>
        <v>0</v>
      </c>
      <c r="EN20" s="80" t="str">
        <f t="shared" si="15"/>
        <v>0</v>
      </c>
      <c r="EO20" s="80" t="str">
        <f t="shared" si="15"/>
        <v>0</v>
      </c>
      <c r="EP20" s="80" t="str">
        <f t="shared" si="15"/>
        <v>0</v>
      </c>
      <c r="EQ20" s="80" t="str">
        <f t="shared" si="15"/>
        <v>0</v>
      </c>
      <c r="ER20" s="79"/>
      <c r="ET20" s="93">
        <v>4</v>
      </c>
      <c r="EU20" s="94" t="str">
        <f>DEC2HEX($ET20,2)</f>
        <v>04</v>
      </c>
      <c r="EV20" s="95" t="str">
        <f>DEC2HEX(syndrome($ET20,HEX2DEC($Y$33),HEX2DEC($Z$33),HEX2DEC($AA$33)),1)</f>
        <v>D</v>
      </c>
      <c r="EW20" s="95">
        <f>errpos(HEX2DEC($EV20),HEX2DEC($O$18),HEX2DEC($P$18),HEX2DEC($Q$18),HEX2DEC($R$18),HEX2DEC($S$18),HEX2DEC($T$18),HEX2DEC($U$18),HEX2DEC($V$18))</f>
        <v>3</v>
      </c>
      <c r="EX20" s="95" t="str">
        <f>IF(isNotAbleCollect(HEX2DEC($EV20),$EW20),"×","-")</f>
        <v>-</v>
      </c>
      <c r="EY20" s="96" t="str">
        <f>DEC2HEX(collectValue($ET20,HEX2DEC($EV20),HEX2DEC($EW20)),2)</f>
        <v>00</v>
      </c>
      <c r="FA20" s="108" t="s">
        <v>106</v>
      </c>
      <c r="FB20" s="109">
        <f>COUNTIF($EY$16:$EY$271,$FA20)</f>
        <v>9</v>
      </c>
    </row>
    <row r="21" spans="2:158" ht="15" thickTop="1" thickBot="1" x14ac:dyDescent="0.2">
      <c r="O21" s="2" t="s">
        <v>95</v>
      </c>
      <c r="AL21" s="17">
        <v>1</v>
      </c>
      <c r="AM21" s="17">
        <v>1</v>
      </c>
      <c r="AN21" s="17">
        <v>1</v>
      </c>
      <c r="AO21" s="17">
        <v>0</v>
      </c>
      <c r="AP21" s="4" t="str">
        <f t="shared" si="5"/>
        <v>7</v>
      </c>
      <c r="AR21" s="25">
        <f t="shared" ref="AR21:BG21" si="16">IF(_xlfn.XOR(_xlfn.XOR(_xlfn.XOR(_xlfn.XOR(_xlfn.XOR(_xlfn.XOR(AR$14,AR$15),AR$16),AR$17),AR$18),AR$19),AR$20),1,0)</f>
        <v>0</v>
      </c>
      <c r="AS21" s="26">
        <f t="shared" si="16"/>
        <v>1</v>
      </c>
      <c r="AT21" s="26">
        <f t="shared" si="16"/>
        <v>1</v>
      </c>
      <c r="AU21" s="26">
        <f t="shared" si="16"/>
        <v>0</v>
      </c>
      <c r="AV21" s="26">
        <f t="shared" si="16"/>
        <v>1</v>
      </c>
      <c r="AW21" s="26">
        <f t="shared" si="16"/>
        <v>0</v>
      </c>
      <c r="AX21" s="26">
        <f t="shared" si="16"/>
        <v>0</v>
      </c>
      <c r="AY21" s="26">
        <f t="shared" si="16"/>
        <v>1</v>
      </c>
      <c r="AZ21" s="26">
        <f t="shared" si="16"/>
        <v>0</v>
      </c>
      <c r="BA21" s="26">
        <f t="shared" si="16"/>
        <v>1</v>
      </c>
      <c r="BB21" s="26">
        <f t="shared" si="16"/>
        <v>1</v>
      </c>
      <c r="BC21" s="26">
        <f t="shared" si="16"/>
        <v>0</v>
      </c>
      <c r="BD21" s="26">
        <f t="shared" si="16"/>
        <v>1</v>
      </c>
      <c r="BE21" s="26">
        <f t="shared" si="16"/>
        <v>0</v>
      </c>
      <c r="BF21" s="26">
        <f t="shared" si="16"/>
        <v>0</v>
      </c>
      <c r="BG21" s="27">
        <f t="shared" si="16"/>
        <v>1</v>
      </c>
      <c r="BH21" s="2" t="s">
        <v>72</v>
      </c>
      <c r="BL21" s="17">
        <f>$AY$14</f>
        <v>1</v>
      </c>
      <c r="BM21" s="17">
        <f>$AY$15</f>
        <v>1</v>
      </c>
      <c r="BN21" s="17">
        <f>$AY$16</f>
        <v>1</v>
      </c>
      <c r="BO21" s="17">
        <f>$AY$17</f>
        <v>0</v>
      </c>
      <c r="BP21" s="18">
        <f>$AY$18</f>
        <v>0</v>
      </c>
      <c r="BQ21" s="18">
        <f>$AY$19</f>
        <v>0</v>
      </c>
      <c r="BR21" s="18">
        <f>$AY$20</f>
        <v>0</v>
      </c>
      <c r="BS21" s="19">
        <f>$AY$21</f>
        <v>1</v>
      </c>
      <c r="BT21" s="2" t="s">
        <v>18</v>
      </c>
      <c r="BU21" s="17">
        <f>IF(_xlfn.XOR($BL$21,_xlfn.XOR($BU$10,$BU$11)),1,0)</f>
        <v>1</v>
      </c>
      <c r="BV21" s="17">
        <f>IF(_xlfn.XOR($BM$21,_xlfn.XOR($BV$10,$BV$11)),1,0)</f>
        <v>1</v>
      </c>
      <c r="BW21" s="17">
        <f>IF(_xlfn.XOR($BN$21,_xlfn.XOR($BW$10,$BW$11)),1,0)</f>
        <v>1</v>
      </c>
      <c r="BX21" s="17">
        <f>IF(_xlfn.XOR($BO$21,_xlfn.XOR($BX$10,$BX$11)),1,0)</f>
        <v>0</v>
      </c>
      <c r="BY21" s="18">
        <f>IF(_xlfn.XOR($BP$21,_xlfn.XOR($BY$10,$BY$11)),1,0)</f>
        <v>0</v>
      </c>
      <c r="BZ21" s="18">
        <f>IF(_xlfn.XOR($BQ$21,_xlfn.XOR($BZ$10,$BZ$11)),1,0)</f>
        <v>0</v>
      </c>
      <c r="CA21" s="18">
        <f>IF(_xlfn.XOR($BR$21,_xlfn.XOR($CA$10,$CA$11)),1,0)</f>
        <v>0</v>
      </c>
      <c r="CB21" s="19">
        <f>IF(_xlfn.XOR($BS$21,_xlfn.XOR($CB$10,$CB$11)),1,0)</f>
        <v>1</v>
      </c>
      <c r="CC21" s="46" t="str">
        <f t="shared" si="6"/>
        <v>87</v>
      </c>
      <c r="CD21" s="47"/>
      <c r="CE21" s="19">
        <f>IF(_xlfn.XOR(_xlfn.XOR(_xlfn.XOR(_xlfn.XOR(_xlfn.XOR(_xlfn.XOR($BU$21,$BV$21),$BW$21),$BX$21),$BY$21),$BZ$21),$CA$21),1,0)</f>
        <v>1</v>
      </c>
      <c r="CF21" s="2" t="str">
        <f t="shared" si="7"/>
        <v>OK</v>
      </c>
      <c r="CJ21" s="2" t="s">
        <v>66</v>
      </c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78"/>
      <c r="DW21" s="49"/>
      <c r="DX21" s="49"/>
      <c r="DY21" s="49"/>
      <c r="DZ21" s="49"/>
      <c r="EA21" s="80" t="s">
        <v>77</v>
      </c>
      <c r="EB21" s="49">
        <f>errpos(HEX2DEC(EB$20),HEX2DEC($O$18),HEX2DEC($P$18),HEX2DEC($Q$18),HEX2DEC($R$18),HEX2DEC($S$18),HEX2DEC($T$18),HEX2DEC($U$18),HEX2DEC($V$18))</f>
        <v>0</v>
      </c>
      <c r="EC21" s="49">
        <f t="shared" ref="EC21:EQ21" si="17">errpos(HEX2DEC(EC$20),HEX2DEC($O$18),HEX2DEC($P$18),HEX2DEC($Q$18),HEX2DEC($R$18),HEX2DEC($S$18),HEX2DEC($T$18),HEX2DEC($U$18),HEX2DEC($V$18))</f>
        <v>0</v>
      </c>
      <c r="ED21" s="49">
        <f t="shared" si="17"/>
        <v>0</v>
      </c>
      <c r="EE21" s="49">
        <f t="shared" si="17"/>
        <v>0</v>
      </c>
      <c r="EF21" s="49">
        <f t="shared" si="17"/>
        <v>0</v>
      </c>
      <c r="EG21" s="49">
        <f t="shared" si="17"/>
        <v>0</v>
      </c>
      <c r="EH21" s="49">
        <f t="shared" si="17"/>
        <v>0</v>
      </c>
      <c r="EI21" s="49">
        <f t="shared" si="17"/>
        <v>0</v>
      </c>
      <c r="EJ21" s="49">
        <f t="shared" si="17"/>
        <v>0</v>
      </c>
      <c r="EK21" s="49">
        <f t="shared" si="17"/>
        <v>0</v>
      </c>
      <c r="EL21" s="49">
        <f t="shared" si="17"/>
        <v>0</v>
      </c>
      <c r="EM21" s="49">
        <f t="shared" si="17"/>
        <v>0</v>
      </c>
      <c r="EN21" s="49">
        <f t="shared" si="17"/>
        <v>0</v>
      </c>
      <c r="EO21" s="49">
        <f t="shared" si="17"/>
        <v>0</v>
      </c>
      <c r="EP21" s="49">
        <f t="shared" si="17"/>
        <v>0</v>
      </c>
      <c r="EQ21" s="49">
        <f t="shared" si="17"/>
        <v>0</v>
      </c>
      <c r="ER21" s="79"/>
      <c r="ET21" s="93">
        <v>5</v>
      </c>
      <c r="EU21" s="94" t="str">
        <f>DEC2HEX($ET21,2)</f>
        <v>05</v>
      </c>
      <c r="EV21" s="95" t="str">
        <f>DEC2HEX(syndrome($ET21,HEX2DEC($Y$33),HEX2DEC($Z$33),HEX2DEC($AA$33)),1)</f>
        <v>6</v>
      </c>
      <c r="EW21" s="95">
        <f>errpos(HEX2DEC($EV21),HEX2DEC($O$18),HEX2DEC($P$18),HEX2DEC($Q$18),HEX2DEC($R$18),HEX2DEC($S$18),HEX2DEC($T$18),HEX2DEC($U$18),HEX2DEC($V$18))</f>
        <v>0</v>
      </c>
      <c r="EX21" s="95" t="str">
        <f>IF(isNotAbleCollect(HEX2DEC($EV21),$EW21),"×","-")</f>
        <v>×</v>
      </c>
      <c r="EY21" s="96" t="str">
        <f>DEC2HEX(collectValue($ET21,HEX2DEC($EV21),HEX2DEC($EW21)),2)</f>
        <v>FF</v>
      </c>
      <c r="FA21" s="108" t="s">
        <v>107</v>
      </c>
      <c r="FB21" s="109">
        <f>COUNTIF($EY$16:$EY$271,$FA21)</f>
        <v>9</v>
      </c>
    </row>
    <row r="22" spans="2:158" ht="15" thickTop="1" thickBot="1" x14ac:dyDescent="0.2">
      <c r="O22" s="2" t="s">
        <v>96</v>
      </c>
      <c r="AL22" s="17">
        <v>0</v>
      </c>
      <c r="AM22" s="17">
        <v>0</v>
      </c>
      <c r="AN22" s="17">
        <v>0</v>
      </c>
      <c r="AO22" s="17">
        <v>1</v>
      </c>
      <c r="AP22" s="4" t="str">
        <f t="shared" si="5"/>
        <v>8</v>
      </c>
      <c r="AR22" s="4" t="str">
        <f>DEC2HEX(1*AR14+2*AR15+4*AR16+8*AR17+16*AR18+32*AR19+64*AR20+128*AR21,2)</f>
        <v>00</v>
      </c>
      <c r="AS22" s="4" t="str">
        <f t="shared" ref="AS22:BG22" si="18">DEC2HEX(1*AS14+2*AS15+4*AS16+8*AS17+16*AS18+32*AS19+64*AS20+128*AS21,2)</f>
        <v>B1</v>
      </c>
      <c r="AT22" s="4" t="str">
        <f t="shared" si="18"/>
        <v>E2</v>
      </c>
      <c r="AU22" s="4" t="str">
        <f t="shared" si="18"/>
        <v>53</v>
      </c>
      <c r="AV22" s="4" t="str">
        <f t="shared" si="18"/>
        <v>D4</v>
      </c>
      <c r="AW22" s="4" t="str">
        <f t="shared" si="18"/>
        <v>65</v>
      </c>
      <c r="AX22" s="4" t="str">
        <f t="shared" si="18"/>
        <v>36</v>
      </c>
      <c r="AY22" s="4" t="str">
        <f t="shared" si="18"/>
        <v>87</v>
      </c>
      <c r="AZ22" s="4" t="str">
        <f t="shared" si="18"/>
        <v>78</v>
      </c>
      <c r="BA22" s="4" t="str">
        <f t="shared" si="18"/>
        <v>C9</v>
      </c>
      <c r="BB22" s="4" t="str">
        <f t="shared" si="18"/>
        <v>9A</v>
      </c>
      <c r="BC22" s="4" t="str">
        <f t="shared" si="18"/>
        <v>2B</v>
      </c>
      <c r="BD22" s="4" t="str">
        <f t="shared" si="18"/>
        <v>AC</v>
      </c>
      <c r="BE22" s="4" t="str">
        <f t="shared" si="18"/>
        <v>1D</v>
      </c>
      <c r="BF22" s="4" t="str">
        <f t="shared" si="18"/>
        <v>4E</v>
      </c>
      <c r="BG22" s="4" t="str">
        <f t="shared" si="18"/>
        <v>FF</v>
      </c>
      <c r="BL22" s="17">
        <f>$AZ$14</f>
        <v>0</v>
      </c>
      <c r="BM22" s="17">
        <f>$AZ$15</f>
        <v>0</v>
      </c>
      <c r="BN22" s="17">
        <f>$AZ$16</f>
        <v>0</v>
      </c>
      <c r="BO22" s="17">
        <f>$AZ$17</f>
        <v>1</v>
      </c>
      <c r="BP22" s="18">
        <f>$AZ$18</f>
        <v>1</v>
      </c>
      <c r="BQ22" s="18">
        <f>$AZ$19</f>
        <v>1</v>
      </c>
      <c r="BR22" s="18">
        <f>$AZ$20</f>
        <v>1</v>
      </c>
      <c r="BS22" s="19">
        <f>$AZ$21</f>
        <v>0</v>
      </c>
      <c r="BT22" s="2" t="s">
        <v>18</v>
      </c>
      <c r="BU22" s="17">
        <f>IF(_xlfn.XOR($BL$22,_xlfn.XOR($BU$10,$BU$11)),1,0)</f>
        <v>0</v>
      </c>
      <c r="BV22" s="17">
        <f>IF(_xlfn.XOR($BM$22,_xlfn.XOR($BV$10,$BV$11)),1,0)</f>
        <v>0</v>
      </c>
      <c r="BW22" s="17">
        <f>IF(_xlfn.XOR($BN$22,_xlfn.XOR($BW$10,$BW$11)),1,0)</f>
        <v>0</v>
      </c>
      <c r="BX22" s="17">
        <f>IF(_xlfn.XOR($BO$22,_xlfn.XOR($BX$10,$BX$11)),1,0)</f>
        <v>1</v>
      </c>
      <c r="BY22" s="18">
        <f>IF(_xlfn.XOR($BP$22,_xlfn.XOR($BY$10,$BY$11)),1,0)</f>
        <v>1</v>
      </c>
      <c r="BZ22" s="18">
        <f>IF(_xlfn.XOR($BQ$22,_xlfn.XOR($BZ$10,$BZ$11)),1,0)</f>
        <v>1</v>
      </c>
      <c r="CA22" s="18">
        <f>IF(_xlfn.XOR($BR$22,_xlfn.XOR($CA$10,$CA$11)),1,0)</f>
        <v>1</v>
      </c>
      <c r="CB22" s="19">
        <f>IF(_xlfn.XOR($BS$22,_xlfn.XOR($CB$10,$CB$11)),1,0)</f>
        <v>0</v>
      </c>
      <c r="CC22" s="46" t="str">
        <f t="shared" si="6"/>
        <v>78</v>
      </c>
      <c r="CD22" s="47"/>
      <c r="CE22" s="19">
        <f>IF(_xlfn.XOR(_xlfn.XOR(_xlfn.XOR(_xlfn.XOR(_xlfn.XOR(_xlfn.XOR($BU$22,$BV$22),$BW$22),$BX$22),$BY$22),$BZ$22),$CA$22),1,0)</f>
        <v>0</v>
      </c>
      <c r="CF22" s="2" t="str">
        <f t="shared" si="7"/>
        <v>OK</v>
      </c>
      <c r="CJ22" s="2" t="s">
        <v>68</v>
      </c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78"/>
      <c r="DW22" s="49"/>
      <c r="DX22" s="49"/>
      <c r="DY22" s="49"/>
      <c r="DZ22" s="49"/>
      <c r="EA22" s="80" t="s">
        <v>87</v>
      </c>
      <c r="EB22" s="80" t="str">
        <f>IF(isNotAbleCollect(HEX2DEC(EB20),EB21),"×","-")</f>
        <v>-</v>
      </c>
      <c r="EC22" s="80" t="str">
        <f t="shared" ref="EC22:EQ22" si="19">IF(isNotAbleCollect(HEX2DEC(EC20),EC21),"×","-")</f>
        <v>-</v>
      </c>
      <c r="ED22" s="80" t="str">
        <f t="shared" si="19"/>
        <v>-</v>
      </c>
      <c r="EE22" s="80" t="str">
        <f t="shared" si="19"/>
        <v>-</v>
      </c>
      <c r="EF22" s="80" t="str">
        <f t="shared" si="19"/>
        <v>-</v>
      </c>
      <c r="EG22" s="80" t="str">
        <f t="shared" si="19"/>
        <v>-</v>
      </c>
      <c r="EH22" s="80" t="str">
        <f t="shared" si="19"/>
        <v>-</v>
      </c>
      <c r="EI22" s="80" t="str">
        <f t="shared" si="19"/>
        <v>-</v>
      </c>
      <c r="EJ22" s="80" t="str">
        <f t="shared" si="19"/>
        <v>-</v>
      </c>
      <c r="EK22" s="80" t="str">
        <f t="shared" si="19"/>
        <v>-</v>
      </c>
      <c r="EL22" s="80" t="str">
        <f t="shared" si="19"/>
        <v>-</v>
      </c>
      <c r="EM22" s="80" t="str">
        <f t="shared" si="19"/>
        <v>-</v>
      </c>
      <c r="EN22" s="80" t="str">
        <f t="shared" si="19"/>
        <v>-</v>
      </c>
      <c r="EO22" s="80" t="str">
        <f t="shared" si="19"/>
        <v>-</v>
      </c>
      <c r="EP22" s="80" t="str">
        <f t="shared" si="19"/>
        <v>-</v>
      </c>
      <c r="EQ22" s="80" t="str">
        <f t="shared" si="19"/>
        <v>-</v>
      </c>
      <c r="ER22" s="79"/>
      <c r="ET22" s="93">
        <v>6</v>
      </c>
      <c r="EU22" s="94" t="str">
        <f>DEC2HEX($ET22,2)</f>
        <v>06</v>
      </c>
      <c r="EV22" s="95" t="str">
        <f>DEC2HEX(syndrome($ET22,HEX2DEC($Y$33),HEX2DEC($Z$33),HEX2DEC($AA$33)),1)</f>
        <v>3</v>
      </c>
      <c r="EW22" s="95">
        <f>errpos(HEX2DEC($EV22),HEX2DEC($O$18),HEX2DEC($P$18),HEX2DEC($Q$18),HEX2DEC($R$18),HEX2DEC($S$18),HEX2DEC($T$18),HEX2DEC($U$18),HEX2DEC($V$18))</f>
        <v>0</v>
      </c>
      <c r="EX22" s="95" t="str">
        <f>IF(isNotAbleCollect(HEX2DEC($EV22),$EW22),"×","-")</f>
        <v>×</v>
      </c>
      <c r="EY22" s="96" t="str">
        <f>DEC2HEX(collectValue($ET22,HEX2DEC($EV22),HEX2DEC($EW22)),2)</f>
        <v>FF</v>
      </c>
      <c r="FA22" s="108" t="s">
        <v>108</v>
      </c>
      <c r="FB22" s="109">
        <f>COUNTIF($EY$16:$EY$271,$FA22)</f>
        <v>9</v>
      </c>
    </row>
    <row r="23" spans="2:158" ht="15" thickTop="1" thickBot="1" x14ac:dyDescent="0.2">
      <c r="AL23" s="17">
        <v>1</v>
      </c>
      <c r="AM23" s="17">
        <v>0</v>
      </c>
      <c r="AN23" s="17">
        <v>0</v>
      </c>
      <c r="AO23" s="17">
        <v>1</v>
      </c>
      <c r="AP23" s="4" t="str">
        <f t="shared" si="5"/>
        <v>9</v>
      </c>
      <c r="AR23" s="2" t="s">
        <v>37</v>
      </c>
      <c r="BL23" s="17">
        <f>$BA$14</f>
        <v>1</v>
      </c>
      <c r="BM23" s="17">
        <f>$BA$15</f>
        <v>0</v>
      </c>
      <c r="BN23" s="17">
        <f>$BA$16</f>
        <v>0</v>
      </c>
      <c r="BO23" s="17">
        <f>$BA$17</f>
        <v>1</v>
      </c>
      <c r="BP23" s="18">
        <f>$BA$18</f>
        <v>0</v>
      </c>
      <c r="BQ23" s="18">
        <f>$BA$19</f>
        <v>0</v>
      </c>
      <c r="BR23" s="18">
        <f>$BA$20</f>
        <v>1</v>
      </c>
      <c r="BS23" s="19">
        <f>$BA$21</f>
        <v>1</v>
      </c>
      <c r="BT23" s="2" t="s">
        <v>18</v>
      </c>
      <c r="BU23" s="17">
        <f>IF(_xlfn.XOR($BL$23,_xlfn.XOR($BU$10,$BU$11)),1,0)</f>
        <v>1</v>
      </c>
      <c r="BV23" s="17">
        <f>IF(_xlfn.XOR($BM$23,_xlfn.XOR($BV$10,$BV$11)),1,0)</f>
        <v>0</v>
      </c>
      <c r="BW23" s="17">
        <f>IF(_xlfn.XOR($BN$23,_xlfn.XOR($BW$10,$BW$11)),1,0)</f>
        <v>0</v>
      </c>
      <c r="BX23" s="17">
        <f>IF(_xlfn.XOR($BO$23,_xlfn.XOR($BX$10,$BX$11)),1,0)</f>
        <v>1</v>
      </c>
      <c r="BY23" s="18">
        <f>IF(_xlfn.XOR($BP$23,_xlfn.XOR($BY$10,$BY$11)),1,0)</f>
        <v>0</v>
      </c>
      <c r="BZ23" s="18">
        <f>IF(_xlfn.XOR($BQ$23,_xlfn.XOR($BZ$10,$BZ$11)),1,0)</f>
        <v>0</v>
      </c>
      <c r="CA23" s="18">
        <f>IF(_xlfn.XOR($BR$23,_xlfn.XOR($CA$10,$CA$11)),1,0)</f>
        <v>1</v>
      </c>
      <c r="CB23" s="19">
        <f>IF(_xlfn.XOR($BS$23,_xlfn.XOR($CB$10,$CB$11)),1,0)</f>
        <v>1</v>
      </c>
      <c r="CC23" s="46" t="str">
        <f t="shared" si="6"/>
        <v>C9</v>
      </c>
      <c r="CD23" s="47"/>
      <c r="CE23" s="19">
        <f>IF(_xlfn.XOR(_xlfn.XOR(_xlfn.XOR(_xlfn.XOR(_xlfn.XOR(_xlfn.XOR($BU$23,$BV$23),$BW$23),$BX$23),$BY$23),$BZ$23),$CA$23),1,0)</f>
        <v>1</v>
      </c>
      <c r="CF23" s="2" t="str">
        <f t="shared" si="7"/>
        <v>OK</v>
      </c>
      <c r="DQ23" s="48"/>
      <c r="DR23" s="48"/>
      <c r="DS23" s="48"/>
      <c r="DT23" s="48"/>
      <c r="DU23" s="48"/>
      <c r="DV23" s="78"/>
      <c r="DW23" s="49"/>
      <c r="DX23" s="49"/>
      <c r="DY23" s="49"/>
      <c r="DZ23" s="49"/>
      <c r="EA23" s="80" t="s">
        <v>85</v>
      </c>
      <c r="EB23" s="80" t="str">
        <f>DEC2HEX(collectValue(HEX2DEC(EB19),HEX2DEC(EB20), HEX2DEC(EB21)),2)</f>
        <v>00</v>
      </c>
      <c r="EC23" s="80" t="str">
        <f t="shared" ref="EC23:EQ23" si="20">DEC2HEX(collectValue(HEX2DEC(EC19),HEX2DEC(EC20), HEX2DEC(EC21)),2)</f>
        <v>01</v>
      </c>
      <c r="ED23" s="80" t="str">
        <f t="shared" si="20"/>
        <v>02</v>
      </c>
      <c r="EE23" s="80" t="str">
        <f t="shared" si="20"/>
        <v>03</v>
      </c>
      <c r="EF23" s="80" t="str">
        <f t="shared" si="20"/>
        <v>04</v>
      </c>
      <c r="EG23" s="80" t="str">
        <f t="shared" si="20"/>
        <v>05</v>
      </c>
      <c r="EH23" s="80" t="str">
        <f t="shared" si="20"/>
        <v>06</v>
      </c>
      <c r="EI23" s="80" t="str">
        <f t="shared" si="20"/>
        <v>07</v>
      </c>
      <c r="EJ23" s="80" t="str">
        <f t="shared" si="20"/>
        <v>08</v>
      </c>
      <c r="EK23" s="80" t="str">
        <f t="shared" si="20"/>
        <v>09</v>
      </c>
      <c r="EL23" s="80" t="str">
        <f t="shared" si="20"/>
        <v>0A</v>
      </c>
      <c r="EM23" s="80" t="str">
        <f t="shared" si="20"/>
        <v>0B</v>
      </c>
      <c r="EN23" s="80" t="str">
        <f t="shared" si="20"/>
        <v>0C</v>
      </c>
      <c r="EO23" s="80" t="str">
        <f t="shared" si="20"/>
        <v>0D</v>
      </c>
      <c r="EP23" s="80" t="str">
        <f t="shared" si="20"/>
        <v>0E</v>
      </c>
      <c r="EQ23" s="80" t="str">
        <f t="shared" si="20"/>
        <v>0F</v>
      </c>
      <c r="ER23" s="79"/>
      <c r="ET23" s="93">
        <v>7</v>
      </c>
      <c r="EU23" s="94" t="str">
        <f>DEC2HEX($ET23,2)</f>
        <v>07</v>
      </c>
      <c r="EV23" s="95" t="str">
        <f>DEC2HEX(syndrome($ET23,HEX2DEC($Y$33),HEX2DEC($Z$33),HEX2DEC($AA$33)),1)</f>
        <v>8</v>
      </c>
      <c r="EW23" s="95">
        <f>errpos(HEX2DEC($EV23),HEX2DEC($O$18),HEX2DEC($P$18),HEX2DEC($Q$18),HEX2DEC($R$18),HEX2DEC($S$18),HEX2DEC($T$18),HEX2DEC($U$18),HEX2DEC($V$18))</f>
        <v>8</v>
      </c>
      <c r="EX23" s="95" t="str">
        <f>IF(isNotAbleCollect(HEX2DEC($EV23),$EW23),"×","-")</f>
        <v>-</v>
      </c>
      <c r="EY23" s="96" t="str">
        <f>DEC2HEX(collectValue($ET23,HEX2DEC($EV23),HEX2DEC($EW23)),2)</f>
        <v>07</v>
      </c>
      <c r="FA23" s="108" t="s">
        <v>109</v>
      </c>
      <c r="FB23" s="109">
        <f>COUNTIF($EY$16:$EY$271,$FA23)</f>
        <v>9</v>
      </c>
    </row>
    <row r="24" spans="2:158" ht="15" thickTop="1" thickBot="1" x14ac:dyDescent="0.2">
      <c r="B24" s="2" t="s">
        <v>38</v>
      </c>
      <c r="I24" s="2" t="s">
        <v>54</v>
      </c>
      <c r="O24" s="2" t="s">
        <v>57</v>
      </c>
      <c r="Y24" s="2" t="s">
        <v>39</v>
      </c>
      <c r="AE24" s="2" t="s">
        <v>41</v>
      </c>
      <c r="AL24" s="17">
        <v>0</v>
      </c>
      <c r="AM24" s="17">
        <v>1</v>
      </c>
      <c r="AN24" s="17">
        <v>0</v>
      </c>
      <c r="AO24" s="17">
        <v>1</v>
      </c>
      <c r="AP24" s="4" t="str">
        <f t="shared" si="5"/>
        <v>A</v>
      </c>
      <c r="BL24" s="17">
        <f>$BB$14</f>
        <v>0</v>
      </c>
      <c r="BM24" s="17">
        <f>$BB$15</f>
        <v>1</v>
      </c>
      <c r="BN24" s="17">
        <f>$BB$16</f>
        <v>0</v>
      </c>
      <c r="BO24" s="17">
        <f>$BB$17</f>
        <v>1</v>
      </c>
      <c r="BP24" s="18">
        <f>$BB$18</f>
        <v>1</v>
      </c>
      <c r="BQ24" s="18">
        <f>$BB$19</f>
        <v>0</v>
      </c>
      <c r="BR24" s="18">
        <f>$BB$20</f>
        <v>0</v>
      </c>
      <c r="BS24" s="19">
        <f>$BB$21</f>
        <v>1</v>
      </c>
      <c r="BT24" s="2" t="s">
        <v>18</v>
      </c>
      <c r="BU24" s="17">
        <f>IF(_xlfn.XOR($BL$24,_xlfn.XOR($BU$10,$BU$11)),1,0)</f>
        <v>0</v>
      </c>
      <c r="BV24" s="17">
        <f>IF(_xlfn.XOR($BM$24,_xlfn.XOR($BV$10,$BV$11)),1,0)</f>
        <v>1</v>
      </c>
      <c r="BW24" s="17">
        <f>IF(_xlfn.XOR($BN$24,_xlfn.XOR($BW$10,$BW$11)),1,0)</f>
        <v>0</v>
      </c>
      <c r="BX24" s="17">
        <f>IF(_xlfn.XOR($BO$24,_xlfn.XOR($BX$10,$BX$11)),1,0)</f>
        <v>1</v>
      </c>
      <c r="BY24" s="18">
        <f>IF(_xlfn.XOR($BP$24,_xlfn.XOR($BY$10,$BY$11)),1,0)</f>
        <v>1</v>
      </c>
      <c r="BZ24" s="18">
        <f>IF(_xlfn.XOR($BQ$24,_xlfn.XOR($BZ$10,$BZ$11)),1,0)</f>
        <v>0</v>
      </c>
      <c r="CA24" s="18">
        <f>IF(_xlfn.XOR($BR$24,_xlfn.XOR($CA$10,$CA$11)),1,0)</f>
        <v>0</v>
      </c>
      <c r="CB24" s="19">
        <f>IF(_xlfn.XOR($BS$24,_xlfn.XOR($CB$10,$CB$11)),1,0)</f>
        <v>1</v>
      </c>
      <c r="CC24" s="46" t="str">
        <f t="shared" si="6"/>
        <v>9A</v>
      </c>
      <c r="CD24" s="47"/>
      <c r="CE24" s="19">
        <f>IF(_xlfn.XOR(_xlfn.XOR(_xlfn.XOR(_xlfn.XOR(_xlfn.XOR(_xlfn.XOR($BU$24,$BV$24),$BW$24),$BX$24),$BY$24),$BZ$24),$CA$24),1,0)</f>
        <v>1</v>
      </c>
      <c r="CF24" s="2" t="str">
        <f t="shared" si="7"/>
        <v>OK</v>
      </c>
      <c r="DQ24" s="48"/>
      <c r="DR24" s="48"/>
      <c r="DS24" s="48"/>
      <c r="DT24" s="48"/>
      <c r="DU24" s="48"/>
      <c r="DV24" s="81"/>
      <c r="DW24" s="82"/>
      <c r="DX24" s="82"/>
      <c r="DY24" s="82"/>
      <c r="DZ24" s="82"/>
      <c r="EA24" s="82"/>
      <c r="EB24" s="82"/>
      <c r="EC24" s="82"/>
      <c r="ED24" s="82"/>
      <c r="EE24" s="82"/>
      <c r="EF24" s="82"/>
      <c r="EG24" s="82"/>
      <c r="EH24" s="82"/>
      <c r="EI24" s="82"/>
      <c r="EJ24" s="82"/>
      <c r="EK24" s="82"/>
      <c r="EL24" s="82"/>
      <c r="EM24" s="82"/>
      <c r="EN24" s="82"/>
      <c r="EO24" s="82"/>
      <c r="EP24" s="82"/>
      <c r="EQ24" s="82"/>
      <c r="ER24" s="83"/>
      <c r="ET24" s="93">
        <v>8</v>
      </c>
      <c r="EU24" s="94" t="str">
        <f>DEC2HEX($ET24,2)</f>
        <v>08</v>
      </c>
      <c r="EV24" s="95" t="str">
        <f>DEC2HEX(syndrome($ET24,HEX2DEC($Y$33),HEX2DEC($Z$33),HEX2DEC($AA$33)),1)</f>
        <v>F</v>
      </c>
      <c r="EW24" s="95">
        <f>errpos(HEX2DEC($EV24),HEX2DEC($O$18),HEX2DEC($P$18),HEX2DEC($Q$18),HEX2DEC($R$18),HEX2DEC($S$18),HEX2DEC($T$18),HEX2DEC($U$18),HEX2DEC($V$18))</f>
        <v>4</v>
      </c>
      <c r="EX24" s="95" t="str">
        <f>IF(isNotAbleCollect(HEX2DEC($EV24),$EW24),"×","-")</f>
        <v>-</v>
      </c>
      <c r="EY24" s="96" t="str">
        <f>DEC2HEX(collectValue($ET24,HEX2DEC($EV24),HEX2DEC($EW24)),2)</f>
        <v>00</v>
      </c>
      <c r="FA24" s="108" t="s">
        <v>110</v>
      </c>
      <c r="FB24" s="109">
        <f>COUNTIF($EY$16:$EY$271,$FA24)</f>
        <v>9</v>
      </c>
    </row>
    <row r="25" spans="2:158" ht="12.75" thickTop="1" thickBot="1" x14ac:dyDescent="0.2">
      <c r="B25" s="5">
        <v>1</v>
      </c>
      <c r="C25" s="5">
        <v>0</v>
      </c>
      <c r="D25" s="5">
        <v>0</v>
      </c>
      <c r="E25" s="5">
        <v>0</v>
      </c>
      <c r="I25" s="36">
        <f>B14</f>
        <v>1</v>
      </c>
      <c r="J25" s="36">
        <f>B15</f>
        <v>1</v>
      </c>
      <c r="K25" s="36">
        <f>B16</f>
        <v>0</v>
      </c>
      <c r="O25" s="5">
        <f t="shared" ref="O25:R28" si="21">B25</f>
        <v>1</v>
      </c>
      <c r="P25" s="5">
        <f t="shared" si="21"/>
        <v>0</v>
      </c>
      <c r="Q25" s="5">
        <f t="shared" si="21"/>
        <v>0</v>
      </c>
      <c r="R25" s="5">
        <f t="shared" si="21"/>
        <v>0</v>
      </c>
      <c r="S25" s="36">
        <f t="shared" ref="S25:U28" si="22">I25</f>
        <v>1</v>
      </c>
      <c r="T25" s="36">
        <f t="shared" si="22"/>
        <v>1</v>
      </c>
      <c r="U25" s="36">
        <f t="shared" si="22"/>
        <v>0</v>
      </c>
      <c r="Y25" s="36">
        <f>O14</f>
        <v>1</v>
      </c>
      <c r="Z25" s="36">
        <f>O15</f>
        <v>1</v>
      </c>
      <c r="AA25" s="36">
        <f>O16</f>
        <v>0</v>
      </c>
      <c r="AB25" s="37">
        <v>1</v>
      </c>
      <c r="AE25" s="6">
        <f>IF(_xlfn.XOR(_xlfn.XOR(_xlfn.XOR(_xlfn.XOR(_xlfn.XOR(_xlfn.XOR($O$25*$Y$25,$P$25*$Y$26),$Q$25*$Y$27),$R$25*$Y$28),$S$25*$Y$29),$T$25*$Y$30),$U$25*$Y$31),1,0)</f>
        <v>0</v>
      </c>
      <c r="AF25" s="6">
        <f>IF(_xlfn.XOR(_xlfn.XOR(_xlfn.XOR(_xlfn.XOR(_xlfn.XOR(_xlfn.XOR($O$26*$Y$25,$P$26*$Y$26),$Q$26*$Y$27),$R$26*$Y$28),$S$26*$Y$29),$T$26*$Y$30),$U$26*$Y$31),1,0)</f>
        <v>0</v>
      </c>
      <c r="AG25" s="6">
        <f>IF(_xlfn.XOR(_xlfn.XOR(_xlfn.XOR(_xlfn.XOR(_xlfn.XOR(_xlfn.XOR($O$27*$Y$25,$P$27*$Y$26),$Q$27*$Y$27),$R$27*$Y$28),$S$27*$Y$29),$T$27*$Y$30),$U$27*$Y$31),1,0)</f>
        <v>0</v>
      </c>
      <c r="AH25" s="6">
        <f>IF(_xlfn.XOR(_xlfn.XOR(_xlfn.XOR(_xlfn.XOR(_xlfn.XOR(_xlfn.XOR($O$28*$Y$25,$P$28*$Y$26),$Q$28*$Y$27),$R$28*$Y$28),$S$28*$Y$29),$T$28*$Y$30),$U$28*$Y$31),1,0)</f>
        <v>0</v>
      </c>
      <c r="AI25" s="2">
        <f>SUM(AE25:AH25)</f>
        <v>0</v>
      </c>
      <c r="AL25" s="17">
        <v>1</v>
      </c>
      <c r="AM25" s="17">
        <v>1</v>
      </c>
      <c r="AN25" s="17">
        <v>0</v>
      </c>
      <c r="AO25" s="17">
        <v>1</v>
      </c>
      <c r="AP25" s="4" t="str">
        <f t="shared" si="5"/>
        <v>B</v>
      </c>
      <c r="BL25" s="17">
        <f>$BC$14</f>
        <v>1</v>
      </c>
      <c r="BM25" s="17">
        <f>$BC$15</f>
        <v>1</v>
      </c>
      <c r="BN25" s="17">
        <f>$BC$16</f>
        <v>0</v>
      </c>
      <c r="BO25" s="17">
        <f>$BC$17</f>
        <v>1</v>
      </c>
      <c r="BP25" s="18">
        <f>$BC$18</f>
        <v>0</v>
      </c>
      <c r="BQ25" s="18">
        <f>$BC$19</f>
        <v>1</v>
      </c>
      <c r="BR25" s="18">
        <f>$BC$20</f>
        <v>0</v>
      </c>
      <c r="BS25" s="19">
        <f>$BC$21</f>
        <v>0</v>
      </c>
      <c r="BT25" s="2" t="s">
        <v>18</v>
      </c>
      <c r="BU25" s="17">
        <f>IF(_xlfn.XOR($BL$25,_xlfn.XOR($BU$10,$BU$11)),1,0)</f>
        <v>1</v>
      </c>
      <c r="BV25" s="17">
        <f>IF(_xlfn.XOR($BM$25,_xlfn.XOR($BV$10,$BV$11)),1,0)</f>
        <v>1</v>
      </c>
      <c r="BW25" s="17">
        <f>IF(_xlfn.XOR($BN$25,_xlfn.XOR($BW$10,$BW$11)),1,0)</f>
        <v>0</v>
      </c>
      <c r="BX25" s="17">
        <f>IF(_xlfn.XOR($BO$25,_xlfn.XOR($BX$10,$BX$11)),1,0)</f>
        <v>1</v>
      </c>
      <c r="BY25" s="18">
        <f>IF(_xlfn.XOR($BP$25,_xlfn.XOR($BY$10,$BY$11)),1,0)</f>
        <v>0</v>
      </c>
      <c r="BZ25" s="18">
        <f>IF(_xlfn.XOR($BQ$25,_xlfn.XOR($BZ$10,$BZ$11)),1,0)</f>
        <v>1</v>
      </c>
      <c r="CA25" s="18">
        <f>IF(_xlfn.XOR($BR$25,_xlfn.XOR($CA$10,$CA$11)),1,0)</f>
        <v>0</v>
      </c>
      <c r="CB25" s="19">
        <f>IF(_xlfn.XOR($BS$25,_xlfn.XOR($CB$10,$CB$11)),1,0)</f>
        <v>0</v>
      </c>
      <c r="CC25" s="46" t="str">
        <f t="shared" si="6"/>
        <v>2B</v>
      </c>
      <c r="CD25" s="47"/>
      <c r="CE25" s="19">
        <f>IF(_xlfn.XOR(_xlfn.XOR(_xlfn.XOR(_xlfn.XOR(_xlfn.XOR(_xlfn.XOR($BU$25,$BV$25),$BW$25),$BX$25),$BY$25),$BZ$25),$CA$25),1,0)</f>
        <v>0</v>
      </c>
      <c r="CF25" s="2" t="str">
        <f t="shared" si="7"/>
        <v>OK</v>
      </c>
      <c r="CG25" s="28"/>
      <c r="CH25" s="28"/>
      <c r="CJ25" s="2" t="s">
        <v>79</v>
      </c>
      <c r="ET25" s="93">
        <v>9</v>
      </c>
      <c r="EU25" s="94" t="str">
        <f>DEC2HEX($ET25,2)</f>
        <v>09</v>
      </c>
      <c r="EV25" s="95" t="str">
        <f>DEC2HEX(syndrome($ET25,HEX2DEC($Y$33),HEX2DEC($Z$33),HEX2DEC($AA$33)),1)</f>
        <v>4</v>
      </c>
      <c r="EW25" s="95">
        <f>errpos(HEX2DEC($EV25),HEX2DEC($O$18),HEX2DEC($P$18),HEX2DEC($Q$18),HEX2DEC($R$18),HEX2DEC($S$18),HEX2DEC($T$18),HEX2DEC($U$18),HEX2DEC($V$18))</f>
        <v>0</v>
      </c>
      <c r="EX25" s="95" t="str">
        <f>IF(isNotAbleCollect(HEX2DEC($EV25),$EW25),"×","-")</f>
        <v>×</v>
      </c>
      <c r="EY25" s="96" t="str">
        <f>DEC2HEX(collectValue($ET25,HEX2DEC($EV25),HEX2DEC($EW25)),2)</f>
        <v>FF</v>
      </c>
      <c r="FA25" s="108" t="s">
        <v>111</v>
      </c>
      <c r="FB25" s="109">
        <f>COUNTIF($EY$16:$EY$271,$FA25)</f>
        <v>9</v>
      </c>
    </row>
    <row r="26" spans="2:158" ht="12.75" thickTop="1" thickBot="1" x14ac:dyDescent="0.2">
      <c r="B26" s="5">
        <v>0</v>
      </c>
      <c r="C26" s="5">
        <v>1</v>
      </c>
      <c r="D26" s="5">
        <v>0</v>
      </c>
      <c r="E26" s="5">
        <v>0</v>
      </c>
      <c r="I26" s="36">
        <f>C14</f>
        <v>0</v>
      </c>
      <c r="J26" s="36">
        <f>C15</f>
        <v>1</v>
      </c>
      <c r="K26" s="36">
        <f>C16</f>
        <v>1</v>
      </c>
      <c r="O26" s="5">
        <f t="shared" si="21"/>
        <v>0</v>
      </c>
      <c r="P26" s="5">
        <f t="shared" si="21"/>
        <v>1</v>
      </c>
      <c r="Q26" s="5">
        <f t="shared" si="21"/>
        <v>0</v>
      </c>
      <c r="R26" s="5">
        <f t="shared" si="21"/>
        <v>0</v>
      </c>
      <c r="S26" s="36">
        <f t="shared" si="22"/>
        <v>0</v>
      </c>
      <c r="T26" s="36">
        <f t="shared" si="22"/>
        <v>1</v>
      </c>
      <c r="U26" s="36">
        <f t="shared" si="22"/>
        <v>1</v>
      </c>
      <c r="Y26" s="36">
        <f>P14</f>
        <v>0</v>
      </c>
      <c r="Z26" s="36">
        <f>P15</f>
        <v>1</v>
      </c>
      <c r="AA26" s="36">
        <f>P16</f>
        <v>1</v>
      </c>
      <c r="AB26" s="37">
        <v>1</v>
      </c>
      <c r="AE26" s="6">
        <f>IF(_xlfn.XOR(_xlfn.XOR(_xlfn.XOR(_xlfn.XOR(_xlfn.XOR(_xlfn.XOR($O$25*$Z$25,$P$25*$Z$26),$Q$25*$Z$27),$R$25*$Z$28),$S$25*$Z$29),$T$25*$Z$30),$U$25*$Z$31),1,0)</f>
        <v>0</v>
      </c>
      <c r="AF26" s="6">
        <f>IF(_xlfn.XOR(_xlfn.XOR(_xlfn.XOR(_xlfn.XOR(_xlfn.XOR(_xlfn.XOR($O$26*$Z$25,$P$26*$Z$26),$Q$26*$Z$27),$R$26*$Z$28),$S$26*$Z$29),$T$26*$Z$30),$U$26*$Z$31),1,0)</f>
        <v>0</v>
      </c>
      <c r="AG26" s="6">
        <f>IF(_xlfn.XOR(_xlfn.XOR(_xlfn.XOR(_xlfn.XOR(_xlfn.XOR(_xlfn.XOR($O$27*$Z$25,$P$27*$Z$26),$Q$27*$Z$27),$R$27*$Z$28),$S$27*$Z$29),$T$27*$Z$30),$U$27*$Z$31),1,0)</f>
        <v>0</v>
      </c>
      <c r="AH26" s="6">
        <f>IF(_xlfn.XOR(_xlfn.XOR(_xlfn.XOR(_xlfn.XOR(_xlfn.XOR(_xlfn.XOR($O$28*$Z$25,$P$28*$Z$26),$Q$28*$Z$27),$R$28*$Z$28),$S$28*$Z$29),$T$28*$Z$30),$U$28*$Z$31),1,0)</f>
        <v>0</v>
      </c>
      <c r="AI26" s="2">
        <f t="shared" ref="AI26:AI27" si="23">SUM(AE26:AH26)</f>
        <v>0</v>
      </c>
      <c r="AL26" s="17">
        <v>0</v>
      </c>
      <c r="AM26" s="17">
        <v>0</v>
      </c>
      <c r="AN26" s="17">
        <v>1</v>
      </c>
      <c r="AO26" s="17">
        <v>1</v>
      </c>
      <c r="AP26" s="4" t="str">
        <f t="shared" si="5"/>
        <v>C</v>
      </c>
      <c r="BL26" s="17">
        <f>$BD$14</f>
        <v>0</v>
      </c>
      <c r="BM26" s="17">
        <f>$BD$15</f>
        <v>0</v>
      </c>
      <c r="BN26" s="17">
        <f>$BD$16</f>
        <v>1</v>
      </c>
      <c r="BO26" s="17">
        <f>$BD$17</f>
        <v>1</v>
      </c>
      <c r="BP26" s="18">
        <f>$BD$18</f>
        <v>0</v>
      </c>
      <c r="BQ26" s="18">
        <f>$BD$19</f>
        <v>1</v>
      </c>
      <c r="BR26" s="18">
        <f>$BD$20</f>
        <v>0</v>
      </c>
      <c r="BS26" s="19">
        <f>$BD$21</f>
        <v>1</v>
      </c>
      <c r="BT26" s="2" t="s">
        <v>18</v>
      </c>
      <c r="BU26" s="17">
        <f>IF(_xlfn.XOR($BL$26,_xlfn.XOR($BU$10,$BU$11)),1,0)</f>
        <v>0</v>
      </c>
      <c r="BV26" s="17">
        <f>IF(_xlfn.XOR($BM$26,_xlfn.XOR($BV$10,$BV$11)),1,0)</f>
        <v>0</v>
      </c>
      <c r="BW26" s="17">
        <f>IF(_xlfn.XOR($BN$26,_xlfn.XOR($BW$10,$BW$11)),1,0)</f>
        <v>1</v>
      </c>
      <c r="BX26" s="17">
        <f>IF(_xlfn.XOR($BO$26,_xlfn.XOR($BX$10,$BX$11)),1,0)</f>
        <v>1</v>
      </c>
      <c r="BY26" s="18">
        <f>IF(_xlfn.XOR($BP$26,_xlfn.XOR($BY$10,$BY$11)),1,0)</f>
        <v>0</v>
      </c>
      <c r="BZ26" s="18">
        <f>IF(_xlfn.XOR($BQ$26,_xlfn.XOR($BZ$10,$BZ$11)),1,0)</f>
        <v>1</v>
      </c>
      <c r="CA26" s="18">
        <f>IF(_xlfn.XOR($BR$26,_xlfn.XOR($CA$10,$CA$11)),1,0)</f>
        <v>0</v>
      </c>
      <c r="CB26" s="19">
        <f>IF(_xlfn.XOR($BS$26,_xlfn.XOR($CB$10,$CB$11)),1,0)</f>
        <v>1</v>
      </c>
      <c r="CC26" s="46" t="str">
        <f t="shared" si="6"/>
        <v>AC</v>
      </c>
      <c r="CD26" s="47"/>
      <c r="CE26" s="19">
        <f>IF(_xlfn.XOR(_xlfn.XOR(_xlfn.XOR(_xlfn.XOR(_xlfn.XOR(_xlfn.XOR($BU$26,$BV$26),$BW$26),$BX$26),$BY$26),$BZ$26),$CA$26),1,0)</f>
        <v>1</v>
      </c>
      <c r="CF26" s="2" t="str">
        <f t="shared" si="7"/>
        <v>OK</v>
      </c>
      <c r="CG26" s="28"/>
      <c r="CH26" s="28"/>
      <c r="CJ26" s="2" t="s">
        <v>80</v>
      </c>
      <c r="ER26" s="4" t="s">
        <v>121</v>
      </c>
      <c r="ET26" s="93">
        <v>10</v>
      </c>
      <c r="EU26" s="94" t="str">
        <f>DEC2HEX($ET26,2)</f>
        <v>0A</v>
      </c>
      <c r="EV26" s="95" t="str">
        <f>DEC2HEX(syndrome($ET26,HEX2DEC($Y$33),HEX2DEC($Z$33),HEX2DEC($AA$33)),1)</f>
        <v>1</v>
      </c>
      <c r="EW26" s="95">
        <f>errpos(HEX2DEC($EV26),HEX2DEC($O$18),HEX2DEC($P$18),HEX2DEC($Q$18),HEX2DEC($R$18),HEX2DEC($S$18),HEX2DEC($T$18),HEX2DEC($U$18),HEX2DEC($V$18))</f>
        <v>0</v>
      </c>
      <c r="EX26" s="95" t="str">
        <f>IF(isNotAbleCollect(HEX2DEC($EV26),$EW26),"×","-")</f>
        <v>×</v>
      </c>
      <c r="EY26" s="96" t="str">
        <f>DEC2HEX(collectValue($ET26,HEX2DEC($EV26),HEX2DEC($EW26)),2)</f>
        <v>FF</v>
      </c>
      <c r="FA26" s="108" t="s">
        <v>112</v>
      </c>
      <c r="FB26" s="109">
        <f>COUNTIF($EY$16:$EY$271,$FA26)</f>
        <v>9</v>
      </c>
    </row>
    <row r="27" spans="2:158" ht="12.75" thickTop="1" thickBot="1" x14ac:dyDescent="0.2">
      <c r="B27" s="5">
        <v>0</v>
      </c>
      <c r="C27" s="5">
        <v>0</v>
      </c>
      <c r="D27" s="5">
        <v>1</v>
      </c>
      <c r="E27" s="5">
        <v>0</v>
      </c>
      <c r="I27" s="36">
        <f>D14</f>
        <v>1</v>
      </c>
      <c r="J27" s="36">
        <f>D15</f>
        <v>0</v>
      </c>
      <c r="K27" s="36">
        <f>D16</f>
        <v>1</v>
      </c>
      <c r="O27" s="5">
        <f t="shared" si="21"/>
        <v>0</v>
      </c>
      <c r="P27" s="5">
        <f t="shared" si="21"/>
        <v>0</v>
      </c>
      <c r="Q27" s="5">
        <f t="shared" si="21"/>
        <v>1</v>
      </c>
      <c r="R27" s="5">
        <f t="shared" si="21"/>
        <v>0</v>
      </c>
      <c r="S27" s="36">
        <f t="shared" si="22"/>
        <v>1</v>
      </c>
      <c r="T27" s="36">
        <f t="shared" si="22"/>
        <v>0</v>
      </c>
      <c r="U27" s="36">
        <f t="shared" si="22"/>
        <v>1</v>
      </c>
      <c r="Y27" s="36">
        <f>Q14</f>
        <v>1</v>
      </c>
      <c r="Z27" s="36">
        <f>Q15</f>
        <v>0</v>
      </c>
      <c r="AA27" s="36">
        <f>Q16</f>
        <v>1</v>
      </c>
      <c r="AB27" s="37">
        <v>1</v>
      </c>
      <c r="AE27" s="6">
        <f>IF(_xlfn.XOR(_xlfn.XOR(_xlfn.XOR(_xlfn.XOR(_xlfn.XOR(_xlfn.XOR($O$25*$AA$25,$P$25*$AA$26),$Q$25*$AA$27),$R$25*$AA$28),$S$25*$AA$29),$T$25*$AA$30),$U$25*$AA$31),1,0)</f>
        <v>0</v>
      </c>
      <c r="AF27" s="6">
        <f>IF(_xlfn.XOR(_xlfn.XOR(_xlfn.XOR(_xlfn.XOR(_xlfn.XOR(_xlfn.XOR($O$26*$AA$25,$P$26*$AA$26),$Q$26*$AA$27),$R$26*$AA$28),$S$26*$AA$29),$T$26*$AA$30),$U$26*$AA$31),1,0)</f>
        <v>0</v>
      </c>
      <c r="AG27" s="6">
        <f>IF(_xlfn.XOR(_xlfn.XOR(_xlfn.XOR(_xlfn.XOR(_xlfn.XOR(_xlfn.XOR($O$27*$AA$25,$P$27*$AA$26),$Q$27*$AA$27),$R$27*$AA$28),$S$27*$AA$29),$T$27*$AA$30),$U$27*$AA$31),1,0)</f>
        <v>0</v>
      </c>
      <c r="AH27" s="6">
        <f>IF(_xlfn.XOR(_xlfn.XOR(_xlfn.XOR(_xlfn.XOR(_xlfn.XOR(_xlfn.XOR($O$28*$AA$25,$P$28*$AA$26),$Q$28*$AA$27),$R$28*$AA$28),$S$28*$AA$29),$T$28*$AA$30),$U$28*$AA$31),1,0)</f>
        <v>0</v>
      </c>
      <c r="AI27" s="2">
        <f t="shared" si="23"/>
        <v>0</v>
      </c>
      <c r="AL27" s="17">
        <v>1</v>
      </c>
      <c r="AM27" s="17">
        <v>0</v>
      </c>
      <c r="AN27" s="17">
        <v>1</v>
      </c>
      <c r="AO27" s="17">
        <v>1</v>
      </c>
      <c r="AP27" s="4" t="str">
        <f t="shared" si="5"/>
        <v>D</v>
      </c>
      <c r="BL27" s="17">
        <f>$BE$14</f>
        <v>1</v>
      </c>
      <c r="BM27" s="17">
        <f>$BE$15</f>
        <v>0</v>
      </c>
      <c r="BN27" s="17">
        <f>$BE$16</f>
        <v>1</v>
      </c>
      <c r="BO27" s="17">
        <f>$BE$17</f>
        <v>1</v>
      </c>
      <c r="BP27" s="18">
        <f>$BE$18</f>
        <v>1</v>
      </c>
      <c r="BQ27" s="18">
        <f>$BE$19</f>
        <v>0</v>
      </c>
      <c r="BR27" s="18">
        <f>$BE$20</f>
        <v>0</v>
      </c>
      <c r="BS27" s="19">
        <f>$BE$21</f>
        <v>0</v>
      </c>
      <c r="BT27" s="2" t="s">
        <v>18</v>
      </c>
      <c r="BU27" s="17">
        <f>IF(_xlfn.XOR($BL$27,_xlfn.XOR($BU$10,$BU$11)),1,0)</f>
        <v>1</v>
      </c>
      <c r="BV27" s="17">
        <f>IF(_xlfn.XOR($BM$27,_xlfn.XOR($BV$10,$BV$11)),1,0)</f>
        <v>0</v>
      </c>
      <c r="BW27" s="17">
        <f>IF(_xlfn.XOR($BN$27,_xlfn.XOR($BW$10,$BW$11)),1,0)</f>
        <v>1</v>
      </c>
      <c r="BX27" s="17">
        <f>IF(_xlfn.XOR($BO$27,_xlfn.XOR($BX$10,$BX$11)),1,0)</f>
        <v>1</v>
      </c>
      <c r="BY27" s="18">
        <f>IF(_xlfn.XOR($BP$27,_xlfn.XOR($BY$10,$BY$11)),1,0)</f>
        <v>1</v>
      </c>
      <c r="BZ27" s="18">
        <f>IF(_xlfn.XOR($BQ$27,_xlfn.XOR($BZ$10,$BZ$11)),1,0)</f>
        <v>0</v>
      </c>
      <c r="CA27" s="18">
        <f>IF(_xlfn.XOR($BR$27,_xlfn.XOR($CA$10,$CA$11)),1,0)</f>
        <v>0</v>
      </c>
      <c r="CB27" s="19">
        <f>IF(_xlfn.XOR($BS$27,_xlfn.XOR($CB$10,$CB$11)),1,0)</f>
        <v>0</v>
      </c>
      <c r="CC27" s="46" t="str">
        <f t="shared" si="6"/>
        <v>1D</v>
      </c>
      <c r="CD27" s="47"/>
      <c r="CE27" s="19">
        <f>IF(_xlfn.XOR(_xlfn.XOR(_xlfn.XOR(_xlfn.XOR(_xlfn.XOR(_xlfn.XOR($BU$27,$BV$27),$BW$27),$BX$27),$BY$27),$BZ$27),$CA$27),1,0)</f>
        <v>0</v>
      </c>
      <c r="CF27" s="2" t="str">
        <f t="shared" si="7"/>
        <v>OK</v>
      </c>
      <c r="CG27" s="28"/>
      <c r="CH27" s="28"/>
      <c r="CJ27" s="2" t="s">
        <v>86</v>
      </c>
      <c r="ER27" s="4" t="s">
        <v>122</v>
      </c>
      <c r="ET27" s="93">
        <v>11</v>
      </c>
      <c r="EU27" s="94" t="str">
        <f>DEC2HEX($ET27,2)</f>
        <v>0B</v>
      </c>
      <c r="EV27" s="95" t="str">
        <f>DEC2HEX(syndrome($ET27,HEX2DEC($Y$33),HEX2DEC($Z$33),HEX2DEC($AA$33)),1)</f>
        <v>A</v>
      </c>
      <c r="EW27" s="95">
        <f>errpos(HEX2DEC($EV27),HEX2DEC($O$18),HEX2DEC($P$18),HEX2DEC($Q$18),HEX2DEC($R$18),HEX2DEC($S$18),HEX2DEC($T$18),HEX2DEC($U$18),HEX2DEC($V$18))</f>
        <v>6</v>
      </c>
      <c r="EX27" s="95" t="str">
        <f>IF(isNotAbleCollect(HEX2DEC($EV27),$EW27),"×","-")</f>
        <v>-</v>
      </c>
      <c r="EY27" s="96" t="str">
        <f>DEC2HEX(collectValue($ET27,HEX2DEC($EV27),HEX2DEC($EW27)),2)</f>
        <v>0B</v>
      </c>
      <c r="FA27" s="108" t="s">
        <v>113</v>
      </c>
      <c r="FB27" s="109">
        <f>COUNTIF($EY$16:$EY$271,$FA27)</f>
        <v>9</v>
      </c>
    </row>
    <row r="28" spans="2:158" ht="12.75" thickTop="1" thickBot="1" x14ac:dyDescent="0.2">
      <c r="B28" s="5">
        <v>0</v>
      </c>
      <c r="C28" s="5">
        <v>0</v>
      </c>
      <c r="D28" s="5">
        <v>0</v>
      </c>
      <c r="E28" s="5">
        <v>1</v>
      </c>
      <c r="I28" s="36">
        <f>E14</f>
        <v>1</v>
      </c>
      <c r="J28" s="36">
        <f>E15</f>
        <v>1</v>
      </c>
      <c r="K28" s="36">
        <f>E16</f>
        <v>1</v>
      </c>
      <c r="O28" s="5">
        <f t="shared" si="21"/>
        <v>0</v>
      </c>
      <c r="P28" s="5">
        <f t="shared" si="21"/>
        <v>0</v>
      </c>
      <c r="Q28" s="5">
        <f t="shared" si="21"/>
        <v>0</v>
      </c>
      <c r="R28" s="5">
        <f t="shared" si="21"/>
        <v>1</v>
      </c>
      <c r="S28" s="36">
        <f t="shared" si="22"/>
        <v>1</v>
      </c>
      <c r="T28" s="36">
        <f t="shared" si="22"/>
        <v>1</v>
      </c>
      <c r="U28" s="36">
        <f t="shared" si="22"/>
        <v>1</v>
      </c>
      <c r="Y28" s="36">
        <f>R14</f>
        <v>1</v>
      </c>
      <c r="Z28" s="36">
        <f>R15</f>
        <v>1</v>
      </c>
      <c r="AA28" s="36">
        <f>R16</f>
        <v>1</v>
      </c>
      <c r="AB28" s="37">
        <v>1</v>
      </c>
      <c r="AE28" s="2">
        <f>SUM(AE25:AE27)</f>
        <v>0</v>
      </c>
      <c r="AF28" s="2">
        <f t="shared" ref="AF28:AI28" si="24">SUM(AF25:AF27)</f>
        <v>0</v>
      </c>
      <c r="AG28" s="2">
        <f t="shared" si="24"/>
        <v>0</v>
      </c>
      <c r="AH28" s="2">
        <f t="shared" si="24"/>
        <v>0</v>
      </c>
      <c r="AI28" s="2">
        <f t="shared" si="24"/>
        <v>0</v>
      </c>
      <c r="AL28" s="17">
        <v>0</v>
      </c>
      <c r="AM28" s="17">
        <v>1</v>
      </c>
      <c r="AN28" s="17">
        <v>1</v>
      </c>
      <c r="AO28" s="17">
        <v>1</v>
      </c>
      <c r="AP28" s="4" t="str">
        <f t="shared" si="5"/>
        <v>E</v>
      </c>
      <c r="BL28" s="17">
        <f>$BF$14</f>
        <v>0</v>
      </c>
      <c r="BM28" s="17">
        <f>$BF$15</f>
        <v>1</v>
      </c>
      <c r="BN28" s="17">
        <f>$BF$16</f>
        <v>1</v>
      </c>
      <c r="BO28" s="17">
        <f>$BF$17</f>
        <v>1</v>
      </c>
      <c r="BP28" s="18">
        <f>$BF$18</f>
        <v>0</v>
      </c>
      <c r="BQ28" s="18">
        <f>$BF$19</f>
        <v>0</v>
      </c>
      <c r="BR28" s="18">
        <f>$BF$20</f>
        <v>1</v>
      </c>
      <c r="BS28" s="19">
        <f>$BF$21</f>
        <v>0</v>
      </c>
      <c r="BT28" s="2" t="s">
        <v>18</v>
      </c>
      <c r="BU28" s="17">
        <f>IF(_xlfn.XOR($BL$28,_xlfn.XOR($BU$10,$BU$11)),1,0)</f>
        <v>0</v>
      </c>
      <c r="BV28" s="17">
        <f>IF(_xlfn.XOR($BM$28,_xlfn.XOR($BV$10,$BV$11)),1,0)</f>
        <v>1</v>
      </c>
      <c r="BW28" s="17">
        <f>IF(_xlfn.XOR($BN$28,_xlfn.XOR($BW$10,$BW$11)),1,0)</f>
        <v>1</v>
      </c>
      <c r="BX28" s="17">
        <f>IF(_xlfn.XOR($BO$28,_xlfn.XOR($BX$10,$BX$11)),1,0)</f>
        <v>1</v>
      </c>
      <c r="BY28" s="18">
        <f>IF(_xlfn.XOR($BP$28,_xlfn.XOR($BY$10,$BY$11)),1,0)</f>
        <v>0</v>
      </c>
      <c r="BZ28" s="18">
        <f>IF(_xlfn.XOR($BQ$28,_xlfn.XOR($BZ$10,$BZ$11)),1,0)</f>
        <v>0</v>
      </c>
      <c r="CA28" s="18">
        <f>IF(_xlfn.XOR($BR$28,_xlfn.XOR($CA$10,$CA$11)),1,0)</f>
        <v>1</v>
      </c>
      <c r="CB28" s="19">
        <f>IF(_xlfn.XOR($BS$28,_xlfn.XOR($CB$10,$CB$11)),1,0)</f>
        <v>0</v>
      </c>
      <c r="CC28" s="46" t="str">
        <f t="shared" si="6"/>
        <v>4E</v>
      </c>
      <c r="CD28" s="47"/>
      <c r="CE28" s="19">
        <f>IF(_xlfn.XOR(_xlfn.XOR(_xlfn.XOR(_xlfn.XOR(_xlfn.XOR(_xlfn.XOR($BU$28,$BV$28),$BW$28),$BX$28),$BY$28),$BZ$28),$CA$28),1,0)</f>
        <v>0</v>
      </c>
      <c r="CF28" s="2" t="str">
        <f t="shared" si="7"/>
        <v>OK</v>
      </c>
      <c r="CG28" s="28"/>
      <c r="CH28" s="28"/>
      <c r="CJ28" s="2" t="s">
        <v>81</v>
      </c>
      <c r="ER28" s="4" t="s">
        <v>123</v>
      </c>
      <c r="ET28" s="93">
        <v>12</v>
      </c>
      <c r="EU28" s="94" t="str">
        <f>DEC2HEX($ET28,2)</f>
        <v>0C</v>
      </c>
      <c r="EV28" s="95" t="str">
        <f>DEC2HEX(syndrome($ET28,HEX2DEC($Y$33),HEX2DEC($Z$33),HEX2DEC($AA$33)),1)</f>
        <v>2</v>
      </c>
      <c r="EW28" s="95">
        <f>errpos(HEX2DEC($EV28),HEX2DEC($O$18),HEX2DEC($P$18),HEX2DEC($Q$18),HEX2DEC($R$18),HEX2DEC($S$18),HEX2DEC($T$18),HEX2DEC($U$18),HEX2DEC($V$18))</f>
        <v>0</v>
      </c>
      <c r="EX28" s="95" t="str">
        <f>IF(isNotAbleCollect(HEX2DEC($EV28),$EW28),"×","-")</f>
        <v>×</v>
      </c>
      <c r="EY28" s="96" t="str">
        <f>DEC2HEX(collectValue($ET28,HEX2DEC($EV28),HEX2DEC($EW28)),2)</f>
        <v>FF</v>
      </c>
      <c r="FA28" s="108" t="s">
        <v>114</v>
      </c>
      <c r="FB28" s="109">
        <f>COUNTIF($EY$16:$EY$271,$FA28)</f>
        <v>9</v>
      </c>
    </row>
    <row r="29" spans="2:158" ht="12" thickTop="1" x14ac:dyDescent="0.15">
      <c r="B29" s="28"/>
      <c r="C29" s="28"/>
      <c r="D29" s="28"/>
      <c r="O29" s="20" t="str">
        <f>DEC2HEX(1*O25+2*O26+4*O27+8*O28,1)</f>
        <v>1</v>
      </c>
      <c r="P29" s="20" t="str">
        <f t="shared" ref="P29:U29" si="25">DEC2HEX(1*P25+2*P26+4*P27+8*P28,1)</f>
        <v>2</v>
      </c>
      <c r="Q29" s="20" t="str">
        <f t="shared" si="25"/>
        <v>4</v>
      </c>
      <c r="R29" s="20" t="str">
        <f t="shared" si="25"/>
        <v>8</v>
      </c>
      <c r="S29" s="20" t="str">
        <f t="shared" si="25"/>
        <v>D</v>
      </c>
      <c r="T29" s="20" t="str">
        <f t="shared" si="25"/>
        <v>B</v>
      </c>
      <c r="U29" s="20" t="str">
        <f t="shared" si="25"/>
        <v>E</v>
      </c>
      <c r="Y29" s="5">
        <f>S14</f>
        <v>1</v>
      </c>
      <c r="Z29" s="5">
        <f>S15</f>
        <v>0</v>
      </c>
      <c r="AA29" s="5">
        <f>S16</f>
        <v>0</v>
      </c>
      <c r="AB29" s="37">
        <v>1</v>
      </c>
      <c r="AE29" s="2" t="s">
        <v>31</v>
      </c>
      <c r="AL29" s="29">
        <v>1</v>
      </c>
      <c r="AM29" s="29">
        <v>1</v>
      </c>
      <c r="AN29" s="29">
        <v>1</v>
      </c>
      <c r="AO29" s="29">
        <v>1</v>
      </c>
      <c r="AP29" s="4" t="str">
        <f t="shared" si="5"/>
        <v>F</v>
      </c>
      <c r="BL29" s="29">
        <f>$BG$14</f>
        <v>1</v>
      </c>
      <c r="BM29" s="29">
        <f>$BG$15</f>
        <v>1</v>
      </c>
      <c r="BN29" s="29">
        <f>$BG$16</f>
        <v>1</v>
      </c>
      <c r="BO29" s="29">
        <f>$BG$17</f>
        <v>1</v>
      </c>
      <c r="BP29" s="30">
        <f>$BG$18</f>
        <v>1</v>
      </c>
      <c r="BQ29" s="30">
        <f>$BG$19</f>
        <v>1</v>
      </c>
      <c r="BR29" s="30">
        <f>$BG$20</f>
        <v>1</v>
      </c>
      <c r="BS29" s="31">
        <f>$BG$21</f>
        <v>1</v>
      </c>
      <c r="BT29" s="2" t="s">
        <v>18</v>
      </c>
      <c r="BU29" s="29">
        <f>IF(_xlfn.XOR($BL$29,_xlfn.XOR($BU$10,$BU$11)),1,0)</f>
        <v>1</v>
      </c>
      <c r="BV29" s="29">
        <f>IF(_xlfn.XOR($BM$29,_xlfn.XOR($BV$10,$BV$11)),1,0)</f>
        <v>1</v>
      </c>
      <c r="BW29" s="29">
        <f>IF(_xlfn.XOR($BN$29,_xlfn.XOR($BW$10,$BW$11)),1,0)</f>
        <v>1</v>
      </c>
      <c r="BX29" s="29">
        <f>IF(_xlfn.XOR($BO$29,_xlfn.XOR($BX$10,$BX$11)),1,0)</f>
        <v>1</v>
      </c>
      <c r="BY29" s="30">
        <f>IF(_xlfn.XOR($BP$29,_xlfn.XOR($BY$10,$BY$11)),1,0)</f>
        <v>1</v>
      </c>
      <c r="BZ29" s="30">
        <f>IF(_xlfn.XOR($BQ$29,_xlfn.XOR($BZ$10,$BZ$11)),1,0)</f>
        <v>1</v>
      </c>
      <c r="CA29" s="30">
        <f>IF(_xlfn.XOR($BR$29,_xlfn.XOR($CA$10,$CA$11)),1,0)</f>
        <v>1</v>
      </c>
      <c r="CB29" s="31">
        <f>IF(_xlfn.XOR($BS$29,_xlfn.XOR($CB$10,$CB$11)),1,0)</f>
        <v>1</v>
      </c>
      <c r="CC29" s="46" t="str">
        <f t="shared" si="6"/>
        <v>FF</v>
      </c>
      <c r="CD29" s="47"/>
      <c r="CE29" s="31">
        <f>IF(_xlfn.XOR(_xlfn.XOR(_xlfn.XOR(_xlfn.XOR(_xlfn.XOR(_xlfn.XOR($BU$29,$BV$29),$BW$29),$BX$29),$BY$29),$BZ$29),$CA$29),1,0)</f>
        <v>1</v>
      </c>
      <c r="CF29" s="2" t="str">
        <f t="shared" si="7"/>
        <v>OK</v>
      </c>
      <c r="CJ29" s="2" t="s">
        <v>28</v>
      </c>
      <c r="ER29" s="4" t="s">
        <v>124</v>
      </c>
      <c r="ET29" s="93">
        <v>13</v>
      </c>
      <c r="EU29" s="94" t="str">
        <f>DEC2HEX($ET29,2)</f>
        <v>0D</v>
      </c>
      <c r="EV29" s="95" t="str">
        <f>DEC2HEX(syndrome($ET29,HEX2DEC($Y$33),HEX2DEC($Z$33),HEX2DEC($AA$33)),1)</f>
        <v>9</v>
      </c>
      <c r="EW29" s="95">
        <f>errpos(HEX2DEC($EV29),HEX2DEC($O$18),HEX2DEC($P$18),HEX2DEC($Q$18),HEX2DEC($R$18),HEX2DEC($S$18),HEX2DEC($T$18),HEX2DEC($U$18),HEX2DEC($V$18))</f>
        <v>5</v>
      </c>
      <c r="EX29" s="95" t="str">
        <f>IF(isNotAbleCollect(HEX2DEC($EV29),$EW29),"×","-")</f>
        <v>-</v>
      </c>
      <c r="EY29" s="96" t="str">
        <f>DEC2HEX(collectValue($ET29,HEX2DEC($EV29),HEX2DEC($EW29)),2)</f>
        <v>0D</v>
      </c>
      <c r="FA29" s="108" t="s">
        <v>115</v>
      </c>
      <c r="FB29" s="109">
        <f>COUNTIF($EY$16:$EY$271,$FA29)</f>
        <v>9</v>
      </c>
    </row>
    <row r="30" spans="2:158" ht="13.5" x14ac:dyDescent="0.15">
      <c r="B30" s="28"/>
      <c r="C30" s="28"/>
      <c r="D30" s="28"/>
      <c r="O30" s="2" t="s">
        <v>55</v>
      </c>
      <c r="Y30" s="5">
        <f>T14</f>
        <v>0</v>
      </c>
      <c r="Z30" s="5">
        <f>T15</f>
        <v>1</v>
      </c>
      <c r="AA30" s="5">
        <f>T16</f>
        <v>0</v>
      </c>
      <c r="AB30" s="37">
        <v>1</v>
      </c>
      <c r="AL30" s="2" t="s">
        <v>13</v>
      </c>
      <c r="BU30" s="32"/>
      <c r="BV30" s="28"/>
      <c r="BW30" s="28"/>
      <c r="BX30" s="28"/>
      <c r="BY30" s="28"/>
      <c r="ER30" s="105" t="s">
        <v>125</v>
      </c>
      <c r="ET30" s="93">
        <v>14</v>
      </c>
      <c r="EU30" s="94" t="str">
        <f>DEC2HEX($ET30,2)</f>
        <v>0E</v>
      </c>
      <c r="EV30" s="95" t="str">
        <f>DEC2HEX(syndrome($ET30,HEX2DEC($Y$33),HEX2DEC($Z$33),HEX2DEC($AA$33)),1)</f>
        <v>C</v>
      </c>
      <c r="EW30" s="95">
        <f>errpos(HEX2DEC($EV30),HEX2DEC($O$18),HEX2DEC($P$18),HEX2DEC($Q$18),HEX2DEC($R$18),HEX2DEC($S$18),HEX2DEC($T$18),HEX2DEC($U$18),HEX2DEC($V$18))</f>
        <v>7</v>
      </c>
      <c r="EX30" s="95" t="str">
        <f>IF(isNotAbleCollect(HEX2DEC($EV30),$EW30),"×","-")</f>
        <v>-</v>
      </c>
      <c r="EY30" s="96" t="str">
        <f>DEC2HEX(collectValue($ET30,HEX2DEC($EV30),HEX2DEC($EW30)),2)</f>
        <v>0E</v>
      </c>
      <c r="FA30" s="108" t="s">
        <v>116</v>
      </c>
      <c r="FB30" s="109">
        <f>COUNTIF($EY$16:$EY$271,$FA30)</f>
        <v>9</v>
      </c>
    </row>
    <row r="31" spans="2:158" x14ac:dyDescent="0.15">
      <c r="B31" s="28"/>
      <c r="C31" s="28"/>
      <c r="D31" s="28"/>
      <c r="Y31" s="5">
        <f>U14</f>
        <v>0</v>
      </c>
      <c r="Z31" s="5">
        <f>U15</f>
        <v>0</v>
      </c>
      <c r="AA31" s="5">
        <f>U16</f>
        <v>1</v>
      </c>
      <c r="AB31" s="37">
        <v>1</v>
      </c>
      <c r="BU31" s="28"/>
      <c r="BV31" s="28"/>
      <c r="BW31" s="28"/>
      <c r="BX31" s="28"/>
      <c r="BY31" s="28"/>
      <c r="ET31" s="93">
        <v>15</v>
      </c>
      <c r="EU31" s="94" t="str">
        <f>DEC2HEX($ET31,2)</f>
        <v>0F</v>
      </c>
      <c r="EV31" s="95" t="str">
        <f>DEC2HEX(syndrome($ET31,HEX2DEC($Y$33),HEX2DEC($Z$33),HEX2DEC($AA$33)),1)</f>
        <v>7</v>
      </c>
      <c r="EW31" s="95">
        <f>errpos(HEX2DEC($EV31),HEX2DEC($O$18),HEX2DEC($P$18),HEX2DEC($Q$18),HEX2DEC($R$18),HEX2DEC($S$18),HEX2DEC($T$18),HEX2DEC($U$18),HEX2DEC($V$18))</f>
        <v>0</v>
      </c>
      <c r="EX31" s="95" t="str">
        <f>IF(isNotAbleCollect(HEX2DEC($EV31),$EW31),"×","-")</f>
        <v>×</v>
      </c>
      <c r="EY31" s="96" t="str">
        <f>DEC2HEX(collectValue($ET31,HEX2DEC($EV31),HEX2DEC($EW31)),2)</f>
        <v>FF</v>
      </c>
      <c r="FA31" s="108" t="s">
        <v>117</v>
      </c>
      <c r="FB31" s="109">
        <f>COUNTIF($EY$16:$EY$271,$FA31)</f>
        <v>9</v>
      </c>
    </row>
    <row r="32" spans="2:158" ht="12" thickBot="1" x14ac:dyDescent="0.2">
      <c r="B32" s="28"/>
      <c r="C32" s="28"/>
      <c r="D32" s="28"/>
      <c r="Y32" s="38">
        <v>0</v>
      </c>
      <c r="Z32" s="38">
        <v>0</v>
      </c>
      <c r="AA32" s="38">
        <v>0</v>
      </c>
      <c r="AB32" s="37">
        <v>1</v>
      </c>
      <c r="BU32" s="28"/>
      <c r="BV32" s="28"/>
      <c r="BW32" s="28"/>
      <c r="BX32" s="28"/>
      <c r="BY32" s="28"/>
      <c r="ER32" s="4" t="s">
        <v>126</v>
      </c>
      <c r="ET32" s="93">
        <v>16</v>
      </c>
      <c r="EU32" s="94" t="str">
        <f>DEC2HEX($ET32,2)</f>
        <v>10</v>
      </c>
      <c r="EV32" s="95" t="str">
        <f>DEC2HEX(syndrome($ET32,HEX2DEC($Y$33),HEX2DEC($Z$33),HEX2DEC($AA$33)),1)</f>
        <v>9</v>
      </c>
      <c r="EW32" s="95">
        <f>errpos(HEX2DEC($EV32),HEX2DEC($O$18),HEX2DEC($P$18),HEX2DEC($Q$18),HEX2DEC($R$18),HEX2DEC($S$18),HEX2DEC($T$18),HEX2DEC($U$18),HEX2DEC($V$18))</f>
        <v>5</v>
      </c>
      <c r="EX32" s="95" t="str">
        <f>IF(isNotAbleCollect(HEX2DEC($EV32),$EW32),"×","-")</f>
        <v>-</v>
      </c>
      <c r="EY32" s="96" t="str">
        <f>DEC2HEX(collectValue($ET32,HEX2DEC($EV32),HEX2DEC($EW32)),2)</f>
        <v>00</v>
      </c>
      <c r="FA32" s="91" t="s">
        <v>118</v>
      </c>
      <c r="FB32" s="92">
        <f>COUNTIF($EY$16:$EY$271,$FA32)</f>
        <v>112</v>
      </c>
    </row>
    <row r="33" spans="1:159" x14ac:dyDescent="0.15">
      <c r="B33" s="28"/>
      <c r="C33" s="28"/>
      <c r="D33" s="28"/>
      <c r="Y33" s="4" t="str">
        <f>DEC2HEX(1*Y25+2*Y26+4*Y27+8*Y28+16*Y29+32*Y30+64*Y31,2)</f>
        <v>1D</v>
      </c>
      <c r="Z33" s="4" t="str">
        <f t="shared" ref="Z33:AA33" si="26">DEC2HEX(1*Z25+2*Z26+4*Z27+8*Z28+16*Z29+32*Z30+64*Z31,2)</f>
        <v>2B</v>
      </c>
      <c r="AA33" s="4" t="str">
        <f t="shared" si="26"/>
        <v>4E</v>
      </c>
      <c r="BU33" s="28"/>
      <c r="BV33" s="28"/>
      <c r="BW33" s="28"/>
      <c r="BX33" s="28"/>
      <c r="BY33" s="28"/>
      <c r="ER33" s="4" t="s">
        <v>127</v>
      </c>
      <c r="ET33" s="93">
        <v>17</v>
      </c>
      <c r="EU33" s="94" t="str">
        <f>DEC2HEX($ET33,2)</f>
        <v>11</v>
      </c>
      <c r="EV33" s="95" t="str">
        <f>DEC2HEX(syndrome($ET33,HEX2DEC($Y$33),HEX2DEC($Z$33),HEX2DEC($AA$33)),1)</f>
        <v>2</v>
      </c>
      <c r="EW33" s="95">
        <f>errpos(HEX2DEC($EV33),HEX2DEC($O$18),HEX2DEC($P$18),HEX2DEC($Q$18),HEX2DEC($R$18),HEX2DEC($S$18),HEX2DEC($T$18),HEX2DEC($U$18),HEX2DEC($V$18))</f>
        <v>0</v>
      </c>
      <c r="EX33" s="95" t="str">
        <f>IF(isNotAbleCollect(HEX2DEC($EV33),$EW33),"×","-")</f>
        <v>×</v>
      </c>
      <c r="EY33" s="96" t="str">
        <f>DEC2HEX(collectValue($ET33,HEX2DEC($EV33),HEX2DEC($EW33)),2)</f>
        <v>FF</v>
      </c>
      <c r="FB33" s="2">
        <f>SUM(FB16:FB32)</f>
        <v>256</v>
      </c>
    </row>
    <row r="34" spans="1:159" x14ac:dyDescent="0.15">
      <c r="ES34" s="73"/>
      <c r="ET34" s="93">
        <v>18</v>
      </c>
      <c r="EU34" s="94" t="str">
        <f>DEC2HEX($ET34,2)</f>
        <v>12</v>
      </c>
      <c r="EV34" s="95" t="str">
        <f>DEC2HEX(syndrome($ET34,HEX2DEC($Y$33),HEX2DEC($Z$33),HEX2DEC($AA$33)),1)</f>
        <v>7</v>
      </c>
      <c r="EW34" s="95">
        <f>errpos(HEX2DEC($EV34),HEX2DEC($O$18),HEX2DEC($P$18),HEX2DEC($Q$18),HEX2DEC($R$18),HEX2DEC($S$18),HEX2DEC($T$18),HEX2DEC($U$18),HEX2DEC($V$18))</f>
        <v>0</v>
      </c>
      <c r="EX34" s="95" t="str">
        <f>IF(isNotAbleCollect(HEX2DEC($EV34),$EW34),"×","-")</f>
        <v>×</v>
      </c>
      <c r="EY34" s="96" t="str">
        <f>DEC2HEX(collectValue($ET34,HEX2DEC($EV34),HEX2DEC($EW34)),2)</f>
        <v>FF</v>
      </c>
      <c r="EZ34" s="74"/>
      <c r="FA34" s="3"/>
      <c r="FB34" s="3"/>
      <c r="FC34" s="3"/>
    </row>
    <row r="35" spans="1:159" s="58" customFormat="1" ht="13.5" x14ac:dyDescent="0.15">
      <c r="A35" s="58" t="s">
        <v>90</v>
      </c>
      <c r="ES35" s="73"/>
      <c r="ET35" s="93">
        <v>19</v>
      </c>
      <c r="EU35" s="94" t="str">
        <f>DEC2HEX($ET35,2)</f>
        <v>13</v>
      </c>
      <c r="EV35" s="95" t="str">
        <f>DEC2HEX(syndrome($ET35,HEX2DEC($Y$33),HEX2DEC($Z$33),HEX2DEC($AA$33)),1)</f>
        <v>C</v>
      </c>
      <c r="EW35" s="95">
        <f>errpos(HEX2DEC($EV35),HEX2DEC($O$18),HEX2DEC($P$18),HEX2DEC($Q$18),HEX2DEC($R$18),HEX2DEC($S$18),HEX2DEC($T$18),HEX2DEC($U$18),HEX2DEC($V$18))</f>
        <v>7</v>
      </c>
      <c r="EX35" s="95" t="str">
        <f>IF(isNotAbleCollect(HEX2DEC($EV35),$EW35),"×","-")</f>
        <v>-</v>
      </c>
      <c r="EY35" s="96" t="str">
        <f>DEC2HEX(collectValue($ET35,HEX2DEC($EV35),HEX2DEC($EW35)),2)</f>
        <v>03</v>
      </c>
      <c r="EZ35" s="74"/>
      <c r="FA35" s="3"/>
      <c r="FB35" s="3"/>
      <c r="FC35" s="3"/>
    </row>
    <row r="36" spans="1:159" x14ac:dyDescent="0.15">
      <c r="A36" s="59" t="s">
        <v>14</v>
      </c>
      <c r="ET36" s="93">
        <v>20</v>
      </c>
      <c r="EU36" s="94" t="str">
        <f>DEC2HEX($ET36,2)</f>
        <v>14</v>
      </c>
      <c r="EV36" s="95" t="str">
        <f>DEC2HEX(syndrome($ET36,HEX2DEC($Y$33),HEX2DEC($Z$33),HEX2DEC($AA$33)),1)</f>
        <v>4</v>
      </c>
      <c r="EW36" s="95">
        <f>errpos(HEX2DEC($EV36),HEX2DEC($O$18),HEX2DEC($P$18),HEX2DEC($Q$18),HEX2DEC($R$18),HEX2DEC($S$18),HEX2DEC($T$18),HEX2DEC($U$18),HEX2DEC($V$18))</f>
        <v>0</v>
      </c>
      <c r="EX36" s="95" t="str">
        <f>IF(isNotAbleCollect(HEX2DEC($EV36),$EW36),"×","-")</f>
        <v>×</v>
      </c>
      <c r="EY36" s="96" t="str">
        <f>DEC2HEX(collectValue($ET36,HEX2DEC($EV36),HEX2DEC($EW36)),2)</f>
        <v>FF</v>
      </c>
      <c r="EZ36" s="74"/>
      <c r="FA36" s="3"/>
      <c r="FB36" s="3"/>
      <c r="FC36" s="3"/>
    </row>
    <row r="37" spans="1:159" x14ac:dyDescent="0.15">
      <c r="ET37" s="93">
        <v>21</v>
      </c>
      <c r="EU37" s="94" t="str">
        <f>DEC2HEX($ET37,2)</f>
        <v>15</v>
      </c>
      <c r="EV37" s="95" t="str">
        <f>DEC2HEX(syndrome($ET37,HEX2DEC($Y$33),HEX2DEC($Z$33),HEX2DEC($AA$33)),1)</f>
        <v>F</v>
      </c>
      <c r="EW37" s="95">
        <f>errpos(HEX2DEC($EV37),HEX2DEC($O$18),HEX2DEC($P$18),HEX2DEC($Q$18),HEX2DEC($R$18),HEX2DEC($S$18),HEX2DEC($T$18),HEX2DEC($U$18),HEX2DEC($V$18))</f>
        <v>4</v>
      </c>
      <c r="EX37" s="95" t="str">
        <f>IF(isNotAbleCollect(HEX2DEC($EV37),$EW37),"×","-")</f>
        <v>-</v>
      </c>
      <c r="EY37" s="96" t="str">
        <f>DEC2HEX(collectValue($ET37,HEX2DEC($EV37),HEX2DEC($EW37)),2)</f>
        <v>0D</v>
      </c>
    </row>
    <row r="38" spans="1:159" x14ac:dyDescent="0.15">
      <c r="B38" s="2" t="s">
        <v>12</v>
      </c>
      <c r="ET38" s="93">
        <v>22</v>
      </c>
      <c r="EU38" s="94" t="str">
        <f>DEC2HEX($ET38,2)</f>
        <v>16</v>
      </c>
      <c r="EV38" s="95" t="str">
        <f>DEC2HEX(syndrome($ET38,HEX2DEC($Y$33),HEX2DEC($Z$33),HEX2DEC($AA$33)),1)</f>
        <v>A</v>
      </c>
      <c r="EW38" s="95">
        <f>errpos(HEX2DEC($EV38),HEX2DEC($O$18),HEX2DEC($P$18),HEX2DEC($Q$18),HEX2DEC($R$18),HEX2DEC($S$18),HEX2DEC($T$18),HEX2DEC($U$18),HEX2DEC($V$18))</f>
        <v>6</v>
      </c>
      <c r="EX38" s="95" t="str">
        <f>IF(isNotAbleCollect(HEX2DEC($EV38),$EW38),"×","-")</f>
        <v>-</v>
      </c>
      <c r="EY38" s="96" t="str">
        <f>DEC2HEX(collectValue($ET38,HEX2DEC($EV38),HEX2DEC($EW38)),2)</f>
        <v>06</v>
      </c>
    </row>
    <row r="39" spans="1:159" x14ac:dyDescent="0.15">
      <c r="B39" s="36">
        <f t="shared" ref="B39:E41" si="27">B14</f>
        <v>1</v>
      </c>
      <c r="C39" s="36">
        <f t="shared" si="27"/>
        <v>0</v>
      </c>
      <c r="D39" s="36">
        <f t="shared" si="27"/>
        <v>1</v>
      </c>
      <c r="E39" s="36">
        <f t="shared" si="27"/>
        <v>1</v>
      </c>
      <c r="ET39" s="93">
        <v>23</v>
      </c>
      <c r="EU39" s="94" t="str">
        <f>DEC2HEX($ET39,2)</f>
        <v>17</v>
      </c>
      <c r="EV39" s="95" t="str">
        <f>DEC2HEX(syndrome($ET39,HEX2DEC($Y$33),HEX2DEC($Z$33),HEX2DEC($AA$33)),1)</f>
        <v>1</v>
      </c>
      <c r="EW39" s="95">
        <f>errpos(HEX2DEC($EV39),HEX2DEC($O$18),HEX2DEC($P$18),HEX2DEC($Q$18),HEX2DEC($R$18),HEX2DEC($S$18),HEX2DEC($T$18),HEX2DEC($U$18),HEX2DEC($V$18))</f>
        <v>0</v>
      </c>
      <c r="EX39" s="95" t="str">
        <f>IF(isNotAbleCollect(HEX2DEC($EV39),$EW39),"×","-")</f>
        <v>×</v>
      </c>
      <c r="EY39" s="96" t="str">
        <f>DEC2HEX(collectValue($ET39,HEX2DEC($EV39),HEX2DEC($EW39)),2)</f>
        <v>FF</v>
      </c>
    </row>
    <row r="40" spans="1:159" x14ac:dyDescent="0.15">
      <c r="B40" s="36">
        <f t="shared" si="27"/>
        <v>1</v>
      </c>
      <c r="C40" s="36">
        <f t="shared" si="27"/>
        <v>1</v>
      </c>
      <c r="D40" s="36">
        <f t="shared" si="27"/>
        <v>0</v>
      </c>
      <c r="E40" s="36">
        <f t="shared" si="27"/>
        <v>1</v>
      </c>
      <c r="ET40" s="93">
        <v>24</v>
      </c>
      <c r="EU40" s="94" t="str">
        <f>DEC2HEX($ET40,2)</f>
        <v>18</v>
      </c>
      <c r="EV40" s="95" t="str">
        <f>DEC2HEX(syndrome($ET40,HEX2DEC($Y$33),HEX2DEC($Z$33),HEX2DEC($AA$33)),1)</f>
        <v>6</v>
      </c>
      <c r="EW40" s="95">
        <f>errpos(HEX2DEC($EV40),HEX2DEC($O$18),HEX2DEC($P$18),HEX2DEC($Q$18),HEX2DEC($R$18),HEX2DEC($S$18),HEX2DEC($T$18),HEX2DEC($U$18),HEX2DEC($V$18))</f>
        <v>0</v>
      </c>
      <c r="EX40" s="95" t="str">
        <f>IF(isNotAbleCollect(HEX2DEC($EV40),$EW40),"×","-")</f>
        <v>×</v>
      </c>
      <c r="EY40" s="96" t="str">
        <f>DEC2HEX(collectValue($ET40,HEX2DEC($EV40),HEX2DEC($EW40)),2)</f>
        <v>FF</v>
      </c>
    </row>
    <row r="41" spans="1:159" ht="12" thickBot="1" x14ac:dyDescent="0.2">
      <c r="B41" s="36">
        <f t="shared" si="27"/>
        <v>0</v>
      </c>
      <c r="C41" s="36">
        <f t="shared" si="27"/>
        <v>1</v>
      </c>
      <c r="D41" s="36">
        <f t="shared" si="27"/>
        <v>1</v>
      </c>
      <c r="E41" s="36">
        <f t="shared" si="27"/>
        <v>1</v>
      </c>
      <c r="AC41" s="43" t="s">
        <v>64</v>
      </c>
      <c r="ET41" s="93">
        <v>25</v>
      </c>
      <c r="EU41" s="94" t="str">
        <f>DEC2HEX($ET41,2)</f>
        <v>19</v>
      </c>
      <c r="EV41" s="95" t="str">
        <f>DEC2HEX(syndrome($ET41,HEX2DEC($Y$33),HEX2DEC($Z$33),HEX2DEC($AA$33)),1)</f>
        <v>D</v>
      </c>
      <c r="EW41" s="95">
        <f>errpos(HEX2DEC($EV41),HEX2DEC($O$18),HEX2DEC($P$18),HEX2DEC($Q$18),HEX2DEC($R$18),HEX2DEC($S$18),HEX2DEC($T$18),HEX2DEC($U$18),HEX2DEC($V$18))</f>
        <v>3</v>
      </c>
      <c r="EX41" s="95" t="str">
        <f>IF(isNotAbleCollect(HEX2DEC($EV41),$EW41),"×","-")</f>
        <v>-</v>
      </c>
      <c r="EY41" s="96" t="str">
        <f>DEC2HEX(collectValue($ET41,HEX2DEC($EV41),HEX2DEC($EW41)),2)</f>
        <v>0D</v>
      </c>
    </row>
    <row r="42" spans="1:159" ht="12.75" thickTop="1" thickBot="1" x14ac:dyDescent="0.2">
      <c r="B42" s="2" t="s">
        <v>58</v>
      </c>
      <c r="AB42" s="4" t="s">
        <v>20</v>
      </c>
      <c r="AC42" s="42">
        <v>0</v>
      </c>
      <c r="AD42" s="42">
        <v>0</v>
      </c>
      <c r="AE42" s="42">
        <v>0</v>
      </c>
      <c r="AF42" s="42">
        <v>0</v>
      </c>
      <c r="AG42" s="42">
        <v>0</v>
      </c>
      <c r="AH42" s="42">
        <v>0</v>
      </c>
      <c r="AI42" s="42">
        <v>0</v>
      </c>
      <c r="AJ42" s="42">
        <v>0</v>
      </c>
      <c r="AK42" s="2">
        <f>SUM(AC42:AJ42)</f>
        <v>0</v>
      </c>
      <c r="ET42" s="93">
        <v>26</v>
      </c>
      <c r="EU42" s="94" t="str">
        <f>DEC2HEX($ET42,2)</f>
        <v>1A</v>
      </c>
      <c r="EV42" s="95" t="str">
        <f>DEC2HEX(syndrome($ET42,HEX2DEC($Y$33),HEX2DEC($Z$33),HEX2DEC($AA$33)),1)</f>
        <v>8</v>
      </c>
      <c r="EW42" s="95">
        <f>errpos(HEX2DEC($EV42),HEX2DEC($O$18),HEX2DEC($P$18),HEX2DEC($Q$18),HEX2DEC($R$18),HEX2DEC($S$18),HEX2DEC($T$18),HEX2DEC($U$18),HEX2DEC($V$18))</f>
        <v>8</v>
      </c>
      <c r="EX42" s="95" t="str">
        <f>IF(isNotAbleCollect(HEX2DEC($EV42),$EW42),"×","-")</f>
        <v>-</v>
      </c>
      <c r="EY42" s="96" t="str">
        <f>DEC2HEX(collectValue($ET42,HEX2DEC($EV42),HEX2DEC($EW42)),2)</f>
        <v>0A</v>
      </c>
    </row>
    <row r="43" spans="1:159" ht="12.75" thickTop="1" thickBot="1" x14ac:dyDescent="0.2">
      <c r="B43" s="2" t="s">
        <v>62</v>
      </c>
      <c r="AB43" s="4" t="s">
        <v>21</v>
      </c>
      <c r="AC43" s="42">
        <v>0</v>
      </c>
      <c r="AD43" s="42">
        <v>0</v>
      </c>
      <c r="AE43" s="42">
        <v>0</v>
      </c>
      <c r="AF43" s="42">
        <v>0</v>
      </c>
      <c r="AG43" s="42">
        <v>0</v>
      </c>
      <c r="AH43" s="42">
        <v>0</v>
      </c>
      <c r="AI43" s="42">
        <v>0</v>
      </c>
      <c r="AJ43" s="42">
        <v>0</v>
      </c>
      <c r="AK43" s="2">
        <f>SUM(AC43:AJ43)</f>
        <v>0</v>
      </c>
      <c r="ET43" s="93">
        <v>27</v>
      </c>
      <c r="EU43" s="94" t="str">
        <f>DEC2HEX($ET43,2)</f>
        <v>1B</v>
      </c>
      <c r="EV43" s="95" t="str">
        <f>DEC2HEX(syndrome($ET43,HEX2DEC($Y$33),HEX2DEC($Z$33),HEX2DEC($AA$33)),1)</f>
        <v>3</v>
      </c>
      <c r="EW43" s="95">
        <f>errpos(HEX2DEC($EV43),HEX2DEC($O$18),HEX2DEC($P$18),HEX2DEC($Q$18),HEX2DEC($R$18),HEX2DEC($S$18),HEX2DEC($T$18),HEX2DEC($U$18),HEX2DEC($V$18))</f>
        <v>0</v>
      </c>
      <c r="EX43" s="95" t="str">
        <f>IF(isNotAbleCollect(HEX2DEC($EV43),$EW43),"×","-")</f>
        <v>×</v>
      </c>
      <c r="EY43" s="96" t="str">
        <f>DEC2HEX(collectValue($ET43,HEX2DEC($EV43),HEX2DEC($EW43)),2)</f>
        <v>FF</v>
      </c>
    </row>
    <row r="44" spans="1:159" ht="12" thickTop="1" x14ac:dyDescent="0.15">
      <c r="AC44" s="2" t="s">
        <v>23</v>
      </c>
      <c r="AD44" s="2" t="s">
        <v>22</v>
      </c>
      <c r="AE44" s="2" t="s">
        <v>22</v>
      </c>
      <c r="AF44" s="2" t="s">
        <v>22</v>
      </c>
      <c r="AG44" s="2" t="s">
        <v>22</v>
      </c>
      <c r="AH44" s="2" t="s">
        <v>22</v>
      </c>
      <c r="AI44" s="2" t="s">
        <v>22</v>
      </c>
      <c r="AJ44" s="2" t="s">
        <v>22</v>
      </c>
      <c r="ET44" s="93">
        <v>28</v>
      </c>
      <c r="EU44" s="94" t="str">
        <f>DEC2HEX($ET44,2)</f>
        <v>1C</v>
      </c>
      <c r="EV44" s="95" t="str">
        <f>DEC2HEX(syndrome($ET44,HEX2DEC($Y$33),HEX2DEC($Z$33),HEX2DEC($AA$33)),1)</f>
        <v>B</v>
      </c>
      <c r="EW44" s="95">
        <f>errpos(HEX2DEC($EV44),HEX2DEC($O$18),HEX2DEC($P$18),HEX2DEC($Q$18),HEX2DEC($R$18),HEX2DEC($S$18),HEX2DEC($T$18),HEX2DEC($U$18),HEX2DEC($V$18))</f>
        <v>1</v>
      </c>
      <c r="EX44" s="95" t="str">
        <f>IF(isNotAbleCollect(HEX2DEC($EV44),$EW44),"×","-")</f>
        <v>-</v>
      </c>
      <c r="EY44" s="96" t="str">
        <f>DEC2HEX(collectValue($ET44,HEX2DEC($EV44),HEX2DEC($EW44)),2)</f>
        <v>0D</v>
      </c>
    </row>
    <row r="45" spans="1:159" ht="13.5" x14ac:dyDescent="0.15">
      <c r="B45" s="2" t="s">
        <v>42</v>
      </c>
      <c r="G45" s="2" t="s">
        <v>73</v>
      </c>
      <c r="K45" s="2" t="s">
        <v>74</v>
      </c>
      <c r="T45" s="2" t="s">
        <v>4</v>
      </c>
      <c r="AB45" s="2" t="s">
        <v>18</v>
      </c>
      <c r="AC45" s="2" t="s">
        <v>5</v>
      </c>
      <c r="AL45" s="2" t="s">
        <v>6</v>
      </c>
      <c r="AQ45" s="2" t="s">
        <v>29</v>
      </c>
      <c r="ET45" s="93">
        <v>29</v>
      </c>
      <c r="EU45" s="94" t="str">
        <f>DEC2HEX($ET45,2)</f>
        <v>1D</v>
      </c>
      <c r="EV45" s="95" t="str">
        <f>DEC2HEX(syndrome($ET45,HEX2DEC($Y$33),HEX2DEC($Z$33),HEX2DEC($AA$33)),1)</f>
        <v>0</v>
      </c>
      <c r="EW45" s="95">
        <f>errpos(HEX2DEC($EV45),HEX2DEC($O$18),HEX2DEC($P$18),HEX2DEC($Q$18),HEX2DEC($R$18),HEX2DEC($S$18),HEX2DEC($T$18),HEX2DEC($U$18),HEX2DEC($V$18))</f>
        <v>0</v>
      </c>
      <c r="EX45" s="95" t="str">
        <f>IF(isNotAbleCollect(HEX2DEC($EV45),$EW45),"×","-")</f>
        <v>-</v>
      </c>
      <c r="EY45" s="96" t="str">
        <f>DEC2HEX(collectValue($ET45,HEX2DEC($EV45),HEX2DEC($EW45)),2)</f>
        <v>0D</v>
      </c>
      <c r="EZ45" s="90">
        <v>2</v>
      </c>
    </row>
    <row r="46" spans="1:159" ht="13.5" thickBot="1" x14ac:dyDescent="0.2">
      <c r="A46" s="2" t="s">
        <v>43</v>
      </c>
      <c r="B46" s="8">
        <v>0</v>
      </c>
      <c r="C46" s="9">
        <v>1</v>
      </c>
      <c r="D46" s="9">
        <v>0</v>
      </c>
      <c r="E46" s="9">
        <v>1</v>
      </c>
      <c r="F46" s="9">
        <v>0</v>
      </c>
      <c r="G46" s="9">
        <v>1</v>
      </c>
      <c r="H46" s="9">
        <v>0</v>
      </c>
      <c r="I46" s="9">
        <v>1</v>
      </c>
      <c r="J46" s="9">
        <v>0</v>
      </c>
      <c r="K46" s="9">
        <v>1</v>
      </c>
      <c r="L46" s="9">
        <v>0</v>
      </c>
      <c r="M46" s="9">
        <v>1</v>
      </c>
      <c r="N46" s="9">
        <v>0</v>
      </c>
      <c r="O46" s="9">
        <v>1</v>
      </c>
      <c r="P46" s="9">
        <v>0</v>
      </c>
      <c r="Q46" s="10">
        <v>1</v>
      </c>
      <c r="T46" s="7">
        <f>$B$46</f>
        <v>0</v>
      </c>
      <c r="U46" s="7">
        <f>$B$47</f>
        <v>0</v>
      </c>
      <c r="V46" s="7">
        <f>$B$48</f>
        <v>0</v>
      </c>
      <c r="W46" s="7">
        <f>$B$49</f>
        <v>0</v>
      </c>
      <c r="X46" s="11">
        <f>$B$51</f>
        <v>0</v>
      </c>
      <c r="Y46" s="11">
        <f>$B$52</f>
        <v>0</v>
      </c>
      <c r="Z46" s="11">
        <f>$B$53</f>
        <v>0</v>
      </c>
      <c r="AA46" s="12">
        <f>$B$55</f>
        <v>0</v>
      </c>
      <c r="AB46" s="2" t="s">
        <v>18</v>
      </c>
      <c r="AC46" s="7">
        <f t="shared" ref="AC46:AC61" si="28">IF(_xlfn.XOR(T46,_xlfn.XOR(AC$42,AC$43)),1,0)</f>
        <v>0</v>
      </c>
      <c r="AD46" s="7">
        <f t="shared" ref="AD46:AD61" si="29">IF(_xlfn.XOR(U46,_xlfn.XOR(AD$42,AD$43)),1,0)</f>
        <v>0</v>
      </c>
      <c r="AE46" s="7">
        <f t="shared" ref="AE46:AE61" si="30">IF(_xlfn.XOR(V46,_xlfn.XOR(AE$42,AE$43)),1,0)</f>
        <v>0</v>
      </c>
      <c r="AF46" s="7">
        <f t="shared" ref="AF46:AF61" si="31">IF(_xlfn.XOR(W46,_xlfn.XOR(AF$42,AF$43)),1,0)</f>
        <v>0</v>
      </c>
      <c r="AG46" s="11">
        <f t="shared" ref="AG46:AG61" si="32">IF(_xlfn.XOR(X46,_xlfn.XOR(AG$42,AG$43)),1,0)</f>
        <v>0</v>
      </c>
      <c r="AH46" s="11">
        <f t="shared" ref="AH46:AH61" si="33">IF(_xlfn.XOR(Y46,_xlfn.XOR(AH$42,AH$43)),1,0)</f>
        <v>0</v>
      </c>
      <c r="AI46" s="11">
        <f t="shared" ref="AI46:AI61" si="34">IF(_xlfn.XOR(Z46,_xlfn.XOR(AI$42,AI$43)),1,0)</f>
        <v>0</v>
      </c>
      <c r="AJ46" s="12">
        <f t="shared" ref="AJ46:AJ61" si="35">IF(_xlfn.XOR(AA46,_xlfn.XOR(AJ$42,AJ$43)),1,0)</f>
        <v>0</v>
      </c>
      <c r="AK46" s="13"/>
      <c r="AL46" s="12">
        <f>IF(_xlfn.XOR(_xlfn.XOR(_xlfn.XOR(_xlfn.XOR(_xlfn.XOR(_xlfn.XOR(AC46,AD46),AE46),AF46),AG46),AH46),AI46),1,0)</f>
        <v>0</v>
      </c>
      <c r="AM46" s="2" t="str">
        <f>IF(AJ46=AL46,"OK","NG!")</f>
        <v>OK</v>
      </c>
      <c r="AP46" s="2" t="s">
        <v>25</v>
      </c>
      <c r="AQ46" s="12">
        <f t="shared" ref="AQ46:BF55" si="36">IF($AC46&lt;&gt;AQ$63,1,0)+IF($AD46&lt;&gt;AQ$64,1,0)+IF($AE46&lt;&gt;AQ$65,1,0)+IF($AF46&lt;&gt;AQ$66,1,0)+IF($AG46&lt;&gt;AQ$67,1,0)+IF($AH46&lt;&gt;AQ$68,1,0)+IF($AI46&lt;&gt;AQ$69,1,0)</f>
        <v>0</v>
      </c>
      <c r="AR46" s="33">
        <f t="shared" si="36"/>
        <v>3</v>
      </c>
      <c r="AS46" s="33">
        <f t="shared" si="36"/>
        <v>3</v>
      </c>
      <c r="AT46" s="33">
        <f t="shared" si="36"/>
        <v>4</v>
      </c>
      <c r="AU46" s="33">
        <f t="shared" si="36"/>
        <v>3</v>
      </c>
      <c r="AV46" s="33">
        <f t="shared" si="36"/>
        <v>4</v>
      </c>
      <c r="AW46" s="33">
        <f t="shared" si="36"/>
        <v>4</v>
      </c>
      <c r="AX46" s="33">
        <f t="shared" si="36"/>
        <v>3</v>
      </c>
      <c r="AY46" s="33">
        <f t="shared" si="36"/>
        <v>4</v>
      </c>
      <c r="AZ46" s="33">
        <f t="shared" si="36"/>
        <v>3</v>
      </c>
      <c r="BA46" s="33">
        <f t="shared" si="36"/>
        <v>3</v>
      </c>
      <c r="BB46" s="33">
        <f t="shared" si="36"/>
        <v>4</v>
      </c>
      <c r="BC46" s="33">
        <f t="shared" si="36"/>
        <v>3</v>
      </c>
      <c r="BD46" s="33">
        <f t="shared" si="36"/>
        <v>4</v>
      </c>
      <c r="BE46" s="33">
        <f t="shared" si="36"/>
        <v>4</v>
      </c>
      <c r="BF46" s="33">
        <f t="shared" si="36"/>
        <v>7</v>
      </c>
      <c r="ET46" s="93">
        <v>30</v>
      </c>
      <c r="EU46" s="94" t="str">
        <f>DEC2HEX($ET46,2)</f>
        <v>1E</v>
      </c>
      <c r="EV46" s="95" t="str">
        <f>DEC2HEX(syndrome($ET46,HEX2DEC($Y$33),HEX2DEC($Z$33),HEX2DEC($AA$33)),1)</f>
        <v>5</v>
      </c>
      <c r="EW46" s="95">
        <f>errpos(HEX2DEC($EV46),HEX2DEC($O$18),HEX2DEC($P$18),HEX2DEC($Q$18),HEX2DEC($R$18),HEX2DEC($S$18),HEX2DEC($T$18),HEX2DEC($U$18),HEX2DEC($V$18))</f>
        <v>0</v>
      </c>
      <c r="EX46" s="95" t="str">
        <f>IF(isNotAbleCollect(HEX2DEC($EV46),$EW46),"×","-")</f>
        <v>×</v>
      </c>
      <c r="EY46" s="96" t="str">
        <f>DEC2HEX(collectValue($ET46,HEX2DEC($EV46),HEX2DEC($EW46)),2)</f>
        <v>FF</v>
      </c>
    </row>
    <row r="47" spans="1:159" ht="14.25" thickTop="1" thickBot="1" x14ac:dyDescent="0.2">
      <c r="A47" s="2" t="s">
        <v>44</v>
      </c>
      <c r="B47" s="8">
        <v>0</v>
      </c>
      <c r="C47" s="9">
        <v>0</v>
      </c>
      <c r="D47" s="9">
        <v>1</v>
      </c>
      <c r="E47" s="9">
        <v>1</v>
      </c>
      <c r="F47" s="9">
        <v>0</v>
      </c>
      <c r="G47" s="9">
        <v>0</v>
      </c>
      <c r="H47" s="9">
        <v>1</v>
      </c>
      <c r="I47" s="9">
        <v>1</v>
      </c>
      <c r="J47" s="9">
        <v>0</v>
      </c>
      <c r="K47" s="9">
        <v>0</v>
      </c>
      <c r="L47" s="9">
        <v>1</v>
      </c>
      <c r="M47" s="9">
        <v>1</v>
      </c>
      <c r="N47" s="9">
        <v>0</v>
      </c>
      <c r="O47" s="9">
        <v>0</v>
      </c>
      <c r="P47" s="9">
        <v>1</v>
      </c>
      <c r="Q47" s="10">
        <v>1</v>
      </c>
      <c r="T47" s="17">
        <f>$C$46</f>
        <v>1</v>
      </c>
      <c r="U47" s="17">
        <f>$C$47</f>
        <v>0</v>
      </c>
      <c r="V47" s="17">
        <f>$C$48</f>
        <v>0</v>
      </c>
      <c r="W47" s="17">
        <f>$C$49</f>
        <v>0</v>
      </c>
      <c r="X47" s="18">
        <f>$C$51</f>
        <v>1</v>
      </c>
      <c r="Y47" s="18">
        <f>$C$52</f>
        <v>1</v>
      </c>
      <c r="Z47" s="18">
        <f>$C$53</f>
        <v>0</v>
      </c>
      <c r="AA47" s="19">
        <f>$C$55</f>
        <v>1</v>
      </c>
      <c r="AB47" s="2" t="s">
        <v>18</v>
      </c>
      <c r="AC47" s="17">
        <f t="shared" si="28"/>
        <v>1</v>
      </c>
      <c r="AD47" s="17">
        <f t="shared" si="29"/>
        <v>0</v>
      </c>
      <c r="AE47" s="17">
        <f t="shared" si="30"/>
        <v>0</v>
      </c>
      <c r="AF47" s="17">
        <f t="shared" si="31"/>
        <v>0</v>
      </c>
      <c r="AG47" s="18">
        <f t="shared" si="32"/>
        <v>1</v>
      </c>
      <c r="AH47" s="18">
        <f t="shared" si="33"/>
        <v>1</v>
      </c>
      <c r="AI47" s="18">
        <f t="shared" si="34"/>
        <v>0</v>
      </c>
      <c r="AJ47" s="19">
        <f t="shared" si="35"/>
        <v>1</v>
      </c>
      <c r="AK47" s="13"/>
      <c r="AL47" s="19">
        <f t="shared" ref="AL47:AL61" si="37">IF(_xlfn.XOR(_xlfn.XOR(_xlfn.XOR(_xlfn.XOR(_xlfn.XOR(_xlfn.XOR(AC47,AD47),AE47),AF47),AG47),AH47),AI47),1,0)</f>
        <v>1</v>
      </c>
      <c r="AM47" s="2" t="str">
        <f t="shared" ref="AM47:AM61" si="38">IF(AJ47=AL47,"OK","NG!")</f>
        <v>OK</v>
      </c>
      <c r="AP47" s="2" t="s">
        <v>25</v>
      </c>
      <c r="AQ47" s="34">
        <f t="shared" si="36"/>
        <v>3</v>
      </c>
      <c r="AR47" s="19">
        <f t="shared" si="36"/>
        <v>0</v>
      </c>
      <c r="AS47" s="34">
        <f t="shared" si="36"/>
        <v>4</v>
      </c>
      <c r="AT47" s="34">
        <f t="shared" si="36"/>
        <v>3</v>
      </c>
      <c r="AU47" s="34">
        <f t="shared" si="36"/>
        <v>4</v>
      </c>
      <c r="AV47" s="34">
        <f t="shared" si="36"/>
        <v>3</v>
      </c>
      <c r="AW47" s="34">
        <f t="shared" si="36"/>
        <v>3</v>
      </c>
      <c r="AX47" s="34">
        <f t="shared" si="36"/>
        <v>4</v>
      </c>
      <c r="AY47" s="34">
        <f t="shared" si="36"/>
        <v>3</v>
      </c>
      <c r="AZ47" s="34">
        <f t="shared" si="36"/>
        <v>4</v>
      </c>
      <c r="BA47" s="34">
        <f t="shared" si="36"/>
        <v>4</v>
      </c>
      <c r="BB47" s="34">
        <f t="shared" si="36"/>
        <v>3</v>
      </c>
      <c r="BC47" s="34">
        <f t="shared" si="36"/>
        <v>4</v>
      </c>
      <c r="BD47" s="34">
        <f t="shared" si="36"/>
        <v>3</v>
      </c>
      <c r="BE47" s="34">
        <f t="shared" si="36"/>
        <v>7</v>
      </c>
      <c r="BF47" s="34">
        <f t="shared" si="36"/>
        <v>4</v>
      </c>
      <c r="ET47" s="93">
        <v>31</v>
      </c>
      <c r="EU47" s="94" t="str">
        <f>DEC2HEX($ET47,2)</f>
        <v>1F</v>
      </c>
      <c r="EV47" s="95" t="str">
        <f>DEC2HEX(syndrome($ET47,HEX2DEC($Y$33),HEX2DEC($Z$33),HEX2DEC($AA$33)),1)</f>
        <v>E</v>
      </c>
      <c r="EW47" s="95">
        <f>errpos(HEX2DEC($EV47),HEX2DEC($O$18),HEX2DEC($P$18),HEX2DEC($Q$18),HEX2DEC($R$18),HEX2DEC($S$18),HEX2DEC($T$18),HEX2DEC($U$18),HEX2DEC($V$18))</f>
        <v>2</v>
      </c>
      <c r="EX47" s="95" t="str">
        <f>IF(isNotAbleCollect(HEX2DEC($EV47),$EW47),"×","-")</f>
        <v>-</v>
      </c>
      <c r="EY47" s="96" t="str">
        <f>DEC2HEX(collectValue($ET47,HEX2DEC($EV47),HEX2DEC($EW47)),2)</f>
        <v>0D</v>
      </c>
    </row>
    <row r="48" spans="1:159" ht="14.25" thickTop="1" thickBot="1" x14ac:dyDescent="0.2">
      <c r="A48" s="2" t="s">
        <v>45</v>
      </c>
      <c r="B48" s="8">
        <v>0</v>
      </c>
      <c r="C48" s="9">
        <v>0</v>
      </c>
      <c r="D48" s="9">
        <v>0</v>
      </c>
      <c r="E48" s="9">
        <v>0</v>
      </c>
      <c r="F48" s="9">
        <v>1</v>
      </c>
      <c r="G48" s="9">
        <v>1</v>
      </c>
      <c r="H48" s="9">
        <v>1</v>
      </c>
      <c r="I48" s="9">
        <v>1</v>
      </c>
      <c r="J48" s="9">
        <v>0</v>
      </c>
      <c r="K48" s="9">
        <v>0</v>
      </c>
      <c r="L48" s="9">
        <v>0</v>
      </c>
      <c r="M48" s="9">
        <v>0</v>
      </c>
      <c r="N48" s="9">
        <v>1</v>
      </c>
      <c r="O48" s="9">
        <v>1</v>
      </c>
      <c r="P48" s="9">
        <v>1</v>
      </c>
      <c r="Q48" s="10">
        <v>1</v>
      </c>
      <c r="T48" s="17">
        <f>$D$46</f>
        <v>0</v>
      </c>
      <c r="U48" s="17">
        <f>$D$47</f>
        <v>1</v>
      </c>
      <c r="V48" s="17">
        <f>$D$48</f>
        <v>0</v>
      </c>
      <c r="W48" s="17">
        <f>$D$49</f>
        <v>0</v>
      </c>
      <c r="X48" s="18">
        <f>$D$51</f>
        <v>0</v>
      </c>
      <c r="Y48" s="18">
        <f>$D$52</f>
        <v>1</v>
      </c>
      <c r="Z48" s="18">
        <f>$D$53</f>
        <v>1</v>
      </c>
      <c r="AA48" s="19">
        <f>$D$55</f>
        <v>1</v>
      </c>
      <c r="AB48" s="2" t="s">
        <v>18</v>
      </c>
      <c r="AC48" s="17">
        <f t="shared" si="28"/>
        <v>0</v>
      </c>
      <c r="AD48" s="17">
        <f t="shared" si="29"/>
        <v>1</v>
      </c>
      <c r="AE48" s="17">
        <f t="shared" si="30"/>
        <v>0</v>
      </c>
      <c r="AF48" s="17">
        <f t="shared" si="31"/>
        <v>0</v>
      </c>
      <c r="AG48" s="18">
        <f t="shared" si="32"/>
        <v>0</v>
      </c>
      <c r="AH48" s="18">
        <f t="shared" si="33"/>
        <v>1</v>
      </c>
      <c r="AI48" s="18">
        <f t="shared" si="34"/>
        <v>1</v>
      </c>
      <c r="AJ48" s="19">
        <f t="shared" si="35"/>
        <v>1</v>
      </c>
      <c r="AK48" s="13"/>
      <c r="AL48" s="19">
        <f t="shared" si="37"/>
        <v>1</v>
      </c>
      <c r="AM48" s="2" t="str">
        <f t="shared" si="38"/>
        <v>OK</v>
      </c>
      <c r="AP48" s="2" t="s">
        <v>25</v>
      </c>
      <c r="AQ48" s="34">
        <f t="shared" si="36"/>
        <v>3</v>
      </c>
      <c r="AR48" s="34">
        <f t="shared" si="36"/>
        <v>4</v>
      </c>
      <c r="AS48" s="19">
        <f t="shared" si="36"/>
        <v>0</v>
      </c>
      <c r="AT48" s="34">
        <f t="shared" si="36"/>
        <v>3</v>
      </c>
      <c r="AU48" s="34">
        <f t="shared" si="36"/>
        <v>4</v>
      </c>
      <c r="AV48" s="34">
        <f t="shared" si="36"/>
        <v>3</v>
      </c>
      <c r="AW48" s="34">
        <f t="shared" si="36"/>
        <v>3</v>
      </c>
      <c r="AX48" s="34">
        <f t="shared" si="36"/>
        <v>4</v>
      </c>
      <c r="AY48" s="34">
        <f t="shared" si="36"/>
        <v>3</v>
      </c>
      <c r="AZ48" s="34">
        <f t="shared" si="36"/>
        <v>4</v>
      </c>
      <c r="BA48" s="34">
        <f t="shared" si="36"/>
        <v>4</v>
      </c>
      <c r="BB48" s="34">
        <f t="shared" si="36"/>
        <v>3</v>
      </c>
      <c r="BC48" s="34">
        <f t="shared" si="36"/>
        <v>4</v>
      </c>
      <c r="BD48" s="34">
        <f t="shared" si="36"/>
        <v>7</v>
      </c>
      <c r="BE48" s="34">
        <f t="shared" si="36"/>
        <v>3</v>
      </c>
      <c r="BF48" s="34">
        <f t="shared" si="36"/>
        <v>4</v>
      </c>
      <c r="ET48" s="93">
        <v>32</v>
      </c>
      <c r="EU48" s="94" t="str">
        <f>DEC2HEX($ET48,2)</f>
        <v>20</v>
      </c>
      <c r="EV48" s="95" t="str">
        <f>DEC2HEX(syndrome($ET48,HEX2DEC($Y$33),HEX2DEC($Z$33),HEX2DEC($AA$33)),1)</f>
        <v>A</v>
      </c>
      <c r="EW48" s="95">
        <f>errpos(HEX2DEC($EV48),HEX2DEC($O$18),HEX2DEC($P$18),HEX2DEC($Q$18),HEX2DEC($R$18),HEX2DEC($S$18),HEX2DEC($T$18),HEX2DEC($U$18),HEX2DEC($V$18))</f>
        <v>6</v>
      </c>
      <c r="EX48" s="95" t="str">
        <f>IF(isNotAbleCollect(HEX2DEC($EV48),$EW48),"×","-")</f>
        <v>-</v>
      </c>
      <c r="EY48" s="96" t="str">
        <f>DEC2HEX(collectValue($ET48,HEX2DEC($EV48),HEX2DEC($EW48)),2)</f>
        <v>00</v>
      </c>
    </row>
    <row r="49" spans="1:156" ht="14.25" thickTop="1" thickBot="1" x14ac:dyDescent="0.2">
      <c r="A49" s="2" t="s">
        <v>46</v>
      </c>
      <c r="B49" s="8">
        <v>0</v>
      </c>
      <c r="C49" s="9">
        <v>0</v>
      </c>
      <c r="D49" s="9">
        <v>0</v>
      </c>
      <c r="E49" s="9">
        <v>0</v>
      </c>
      <c r="F49" s="9">
        <v>0</v>
      </c>
      <c r="G49" s="9">
        <v>0</v>
      </c>
      <c r="H49" s="9">
        <v>0</v>
      </c>
      <c r="I49" s="9">
        <v>0</v>
      </c>
      <c r="J49" s="9">
        <v>1</v>
      </c>
      <c r="K49" s="9">
        <v>1</v>
      </c>
      <c r="L49" s="9">
        <v>1</v>
      </c>
      <c r="M49" s="9">
        <v>1</v>
      </c>
      <c r="N49" s="9">
        <v>1</v>
      </c>
      <c r="O49" s="9">
        <v>1</v>
      </c>
      <c r="P49" s="9">
        <v>1</v>
      </c>
      <c r="Q49" s="10">
        <v>1</v>
      </c>
      <c r="T49" s="17">
        <f>$E$46</f>
        <v>1</v>
      </c>
      <c r="U49" s="17">
        <f>$E$47</f>
        <v>1</v>
      </c>
      <c r="V49" s="17">
        <f>$E$48</f>
        <v>0</v>
      </c>
      <c r="W49" s="17">
        <f>$E$49</f>
        <v>0</v>
      </c>
      <c r="X49" s="18">
        <f>$E$51</f>
        <v>1</v>
      </c>
      <c r="Y49" s="18">
        <f>$E$52</f>
        <v>0</v>
      </c>
      <c r="Z49" s="18">
        <f>$E$53</f>
        <v>1</v>
      </c>
      <c r="AA49" s="19">
        <f>$E$55</f>
        <v>0</v>
      </c>
      <c r="AB49" s="2" t="s">
        <v>18</v>
      </c>
      <c r="AC49" s="17">
        <f t="shared" si="28"/>
        <v>1</v>
      </c>
      <c r="AD49" s="17">
        <f t="shared" si="29"/>
        <v>1</v>
      </c>
      <c r="AE49" s="17">
        <f t="shared" si="30"/>
        <v>0</v>
      </c>
      <c r="AF49" s="17">
        <f t="shared" si="31"/>
        <v>0</v>
      </c>
      <c r="AG49" s="18">
        <f t="shared" si="32"/>
        <v>1</v>
      </c>
      <c r="AH49" s="18">
        <f t="shared" si="33"/>
        <v>0</v>
      </c>
      <c r="AI49" s="18">
        <f t="shared" si="34"/>
        <v>1</v>
      </c>
      <c r="AJ49" s="19">
        <f t="shared" si="35"/>
        <v>0</v>
      </c>
      <c r="AK49" s="13"/>
      <c r="AL49" s="19">
        <f t="shared" si="37"/>
        <v>0</v>
      </c>
      <c r="AM49" s="2" t="str">
        <f t="shared" si="38"/>
        <v>OK</v>
      </c>
      <c r="AP49" s="2" t="s">
        <v>25</v>
      </c>
      <c r="AQ49" s="34">
        <f t="shared" si="36"/>
        <v>4</v>
      </c>
      <c r="AR49" s="34">
        <f t="shared" si="36"/>
        <v>3</v>
      </c>
      <c r="AS49" s="34">
        <f t="shared" si="36"/>
        <v>3</v>
      </c>
      <c r="AT49" s="19">
        <f t="shared" si="36"/>
        <v>0</v>
      </c>
      <c r="AU49" s="34">
        <f t="shared" si="36"/>
        <v>3</v>
      </c>
      <c r="AV49" s="34">
        <f t="shared" si="36"/>
        <v>4</v>
      </c>
      <c r="AW49" s="34">
        <f t="shared" si="36"/>
        <v>4</v>
      </c>
      <c r="AX49" s="34">
        <f t="shared" si="36"/>
        <v>3</v>
      </c>
      <c r="AY49" s="34">
        <f t="shared" si="36"/>
        <v>4</v>
      </c>
      <c r="AZ49" s="34">
        <f t="shared" si="36"/>
        <v>3</v>
      </c>
      <c r="BA49" s="34">
        <f t="shared" si="36"/>
        <v>3</v>
      </c>
      <c r="BB49" s="34">
        <f t="shared" si="36"/>
        <v>4</v>
      </c>
      <c r="BC49" s="34">
        <f t="shared" si="36"/>
        <v>7</v>
      </c>
      <c r="BD49" s="34">
        <f t="shared" si="36"/>
        <v>4</v>
      </c>
      <c r="BE49" s="34">
        <f t="shared" si="36"/>
        <v>4</v>
      </c>
      <c r="BF49" s="34">
        <f t="shared" si="36"/>
        <v>3</v>
      </c>
      <c r="ET49" s="93">
        <v>33</v>
      </c>
      <c r="EU49" s="94" t="str">
        <f>DEC2HEX($ET49,2)</f>
        <v>21</v>
      </c>
      <c r="EV49" s="95" t="str">
        <f>DEC2HEX(syndrome($ET49,HEX2DEC($Y$33),HEX2DEC($Z$33),HEX2DEC($AA$33)),1)</f>
        <v>1</v>
      </c>
      <c r="EW49" s="95">
        <f>errpos(HEX2DEC($EV49),HEX2DEC($O$18),HEX2DEC($P$18),HEX2DEC($Q$18),HEX2DEC($R$18),HEX2DEC($S$18),HEX2DEC($T$18),HEX2DEC($U$18),HEX2DEC($V$18))</f>
        <v>0</v>
      </c>
      <c r="EX49" s="95" t="str">
        <f>IF(isNotAbleCollect(HEX2DEC($EV49),$EW49),"×","-")</f>
        <v>×</v>
      </c>
      <c r="EY49" s="96" t="str">
        <f>DEC2HEX(collectValue($ET49,HEX2DEC($EV49),HEX2DEC($EW49)),2)</f>
        <v>FF</v>
      </c>
    </row>
    <row r="50" spans="1:156" ht="15" thickTop="1" thickBot="1" x14ac:dyDescent="0.2">
      <c r="B50" s="2" t="s">
        <v>47</v>
      </c>
      <c r="H50" s="2" t="s">
        <v>48</v>
      </c>
      <c r="T50" s="17">
        <f>$F$46</f>
        <v>0</v>
      </c>
      <c r="U50" s="17">
        <f>$F$47</f>
        <v>0</v>
      </c>
      <c r="V50" s="17">
        <f>$F$48</f>
        <v>1</v>
      </c>
      <c r="W50" s="17">
        <f>$F$49</f>
        <v>0</v>
      </c>
      <c r="X50" s="18">
        <f>$F$51</f>
        <v>1</v>
      </c>
      <c r="Y50" s="18">
        <f>$F$52</f>
        <v>0</v>
      </c>
      <c r="Z50" s="18">
        <f>$F$53</f>
        <v>1</v>
      </c>
      <c r="AA50" s="19">
        <f>$F$55</f>
        <v>1</v>
      </c>
      <c r="AB50" s="2" t="s">
        <v>18</v>
      </c>
      <c r="AC50" s="17">
        <f t="shared" si="28"/>
        <v>0</v>
      </c>
      <c r="AD50" s="17">
        <f t="shared" si="29"/>
        <v>0</v>
      </c>
      <c r="AE50" s="17">
        <f t="shared" si="30"/>
        <v>1</v>
      </c>
      <c r="AF50" s="17">
        <f t="shared" si="31"/>
        <v>0</v>
      </c>
      <c r="AG50" s="18">
        <f t="shared" si="32"/>
        <v>1</v>
      </c>
      <c r="AH50" s="18">
        <f t="shared" si="33"/>
        <v>0</v>
      </c>
      <c r="AI50" s="18">
        <f t="shared" si="34"/>
        <v>1</v>
      </c>
      <c r="AJ50" s="19">
        <f t="shared" si="35"/>
        <v>1</v>
      </c>
      <c r="AK50" s="13"/>
      <c r="AL50" s="19">
        <f t="shared" si="37"/>
        <v>1</v>
      </c>
      <c r="AM50" s="2" t="str">
        <f t="shared" si="38"/>
        <v>OK</v>
      </c>
      <c r="AP50" s="2" t="s">
        <v>25</v>
      </c>
      <c r="AQ50" s="34">
        <f t="shared" si="36"/>
        <v>3</v>
      </c>
      <c r="AR50" s="34">
        <f t="shared" si="36"/>
        <v>4</v>
      </c>
      <c r="AS50" s="34">
        <f t="shared" si="36"/>
        <v>4</v>
      </c>
      <c r="AT50" s="34">
        <f t="shared" si="36"/>
        <v>3</v>
      </c>
      <c r="AU50" s="19">
        <f t="shared" si="36"/>
        <v>0</v>
      </c>
      <c r="AV50" s="34">
        <f t="shared" si="36"/>
        <v>3</v>
      </c>
      <c r="AW50" s="34">
        <f t="shared" si="36"/>
        <v>3</v>
      </c>
      <c r="AX50" s="34">
        <f t="shared" si="36"/>
        <v>4</v>
      </c>
      <c r="AY50" s="34">
        <f t="shared" si="36"/>
        <v>3</v>
      </c>
      <c r="AZ50" s="34">
        <f t="shared" si="36"/>
        <v>4</v>
      </c>
      <c r="BA50" s="34">
        <f t="shared" si="36"/>
        <v>4</v>
      </c>
      <c r="BB50" s="34">
        <f t="shared" si="36"/>
        <v>7</v>
      </c>
      <c r="BC50" s="34">
        <f t="shared" si="36"/>
        <v>4</v>
      </c>
      <c r="BD50" s="34">
        <f t="shared" si="36"/>
        <v>3</v>
      </c>
      <c r="BE50" s="34">
        <f t="shared" si="36"/>
        <v>3</v>
      </c>
      <c r="BF50" s="34">
        <f t="shared" si="36"/>
        <v>4</v>
      </c>
      <c r="ET50" s="93">
        <v>34</v>
      </c>
      <c r="EU50" s="94" t="str">
        <f>DEC2HEX($ET50,2)</f>
        <v>22</v>
      </c>
      <c r="EV50" s="95" t="str">
        <f>DEC2HEX(syndrome($ET50,HEX2DEC($Y$33),HEX2DEC($Z$33),HEX2DEC($AA$33)),1)</f>
        <v>4</v>
      </c>
      <c r="EW50" s="95">
        <f>errpos(HEX2DEC($EV50),HEX2DEC($O$18),HEX2DEC($P$18),HEX2DEC($Q$18),HEX2DEC($R$18),HEX2DEC($S$18),HEX2DEC($T$18),HEX2DEC($U$18),HEX2DEC($V$18))</f>
        <v>0</v>
      </c>
      <c r="EX50" s="95" t="str">
        <f>IF(isNotAbleCollect(HEX2DEC($EV50),$EW50),"×","-")</f>
        <v>×</v>
      </c>
      <c r="EY50" s="96" t="str">
        <f>DEC2HEX(collectValue($ET50,HEX2DEC($EV50),HEX2DEC($EW50)),2)</f>
        <v>FF</v>
      </c>
    </row>
    <row r="51" spans="1:156" ht="14.25" thickTop="1" thickBot="1" x14ac:dyDescent="0.2">
      <c r="A51" s="2" t="s">
        <v>49</v>
      </c>
      <c r="B51" s="21">
        <f t="shared" ref="B51:Q51" si="39">IF(_xlfn.XOR(_xlfn.XOR(_xlfn.XOR($B$39*B$46,$C$39*B$47),$D$39*B$48),$E$39*B$49),1,0)</f>
        <v>0</v>
      </c>
      <c r="C51" s="22">
        <f t="shared" si="39"/>
        <v>1</v>
      </c>
      <c r="D51" s="22">
        <f t="shared" si="39"/>
        <v>0</v>
      </c>
      <c r="E51" s="22">
        <f t="shared" si="39"/>
        <v>1</v>
      </c>
      <c r="F51" s="22">
        <f t="shared" si="39"/>
        <v>1</v>
      </c>
      <c r="G51" s="22">
        <f t="shared" si="39"/>
        <v>0</v>
      </c>
      <c r="H51" s="22">
        <f t="shared" si="39"/>
        <v>1</v>
      </c>
      <c r="I51" s="22">
        <f t="shared" si="39"/>
        <v>0</v>
      </c>
      <c r="J51" s="22">
        <f t="shared" si="39"/>
        <v>1</v>
      </c>
      <c r="K51" s="22">
        <f t="shared" si="39"/>
        <v>0</v>
      </c>
      <c r="L51" s="22">
        <f t="shared" si="39"/>
        <v>1</v>
      </c>
      <c r="M51" s="22">
        <f t="shared" si="39"/>
        <v>0</v>
      </c>
      <c r="N51" s="22">
        <f t="shared" si="39"/>
        <v>0</v>
      </c>
      <c r="O51" s="22">
        <f t="shared" si="39"/>
        <v>1</v>
      </c>
      <c r="P51" s="22">
        <f t="shared" si="39"/>
        <v>0</v>
      </c>
      <c r="Q51" s="23">
        <f t="shared" si="39"/>
        <v>1</v>
      </c>
      <c r="T51" s="17">
        <f>$G$46</f>
        <v>1</v>
      </c>
      <c r="U51" s="17">
        <f>$G$47</f>
        <v>0</v>
      </c>
      <c r="V51" s="17">
        <f>$G$48</f>
        <v>1</v>
      </c>
      <c r="W51" s="17">
        <f>$G$49</f>
        <v>0</v>
      </c>
      <c r="X51" s="18">
        <f>$G$51</f>
        <v>0</v>
      </c>
      <c r="Y51" s="18">
        <f>$G$52</f>
        <v>1</v>
      </c>
      <c r="Z51" s="18">
        <f>$G$53</f>
        <v>1</v>
      </c>
      <c r="AA51" s="19">
        <f>$G$55</f>
        <v>0</v>
      </c>
      <c r="AB51" s="2" t="s">
        <v>18</v>
      </c>
      <c r="AC51" s="17">
        <f t="shared" si="28"/>
        <v>1</v>
      </c>
      <c r="AD51" s="17">
        <f t="shared" si="29"/>
        <v>0</v>
      </c>
      <c r="AE51" s="17">
        <f t="shared" si="30"/>
        <v>1</v>
      </c>
      <c r="AF51" s="17">
        <f t="shared" si="31"/>
        <v>0</v>
      </c>
      <c r="AG51" s="18">
        <f t="shared" si="32"/>
        <v>0</v>
      </c>
      <c r="AH51" s="18">
        <f t="shared" si="33"/>
        <v>1</v>
      </c>
      <c r="AI51" s="18">
        <f t="shared" si="34"/>
        <v>1</v>
      </c>
      <c r="AJ51" s="19">
        <f t="shared" si="35"/>
        <v>0</v>
      </c>
      <c r="AK51" s="13"/>
      <c r="AL51" s="19">
        <f t="shared" si="37"/>
        <v>0</v>
      </c>
      <c r="AM51" s="2" t="str">
        <f t="shared" si="38"/>
        <v>OK</v>
      </c>
      <c r="AP51" s="2" t="s">
        <v>25</v>
      </c>
      <c r="AQ51" s="34">
        <f t="shared" si="36"/>
        <v>4</v>
      </c>
      <c r="AR51" s="34">
        <f t="shared" si="36"/>
        <v>3</v>
      </c>
      <c r="AS51" s="34">
        <f t="shared" si="36"/>
        <v>3</v>
      </c>
      <c r="AT51" s="34">
        <f t="shared" si="36"/>
        <v>4</v>
      </c>
      <c r="AU51" s="34">
        <f t="shared" si="36"/>
        <v>3</v>
      </c>
      <c r="AV51" s="19">
        <f t="shared" si="36"/>
        <v>0</v>
      </c>
      <c r="AW51" s="34">
        <f t="shared" si="36"/>
        <v>4</v>
      </c>
      <c r="AX51" s="34">
        <f t="shared" si="36"/>
        <v>3</v>
      </c>
      <c r="AY51" s="34">
        <f t="shared" si="36"/>
        <v>4</v>
      </c>
      <c r="AZ51" s="34">
        <f t="shared" si="36"/>
        <v>3</v>
      </c>
      <c r="BA51" s="34">
        <f t="shared" si="36"/>
        <v>7</v>
      </c>
      <c r="BB51" s="34">
        <f t="shared" si="36"/>
        <v>4</v>
      </c>
      <c r="BC51" s="34">
        <f t="shared" si="36"/>
        <v>3</v>
      </c>
      <c r="BD51" s="34">
        <f t="shared" si="36"/>
        <v>4</v>
      </c>
      <c r="BE51" s="34">
        <f t="shared" si="36"/>
        <v>4</v>
      </c>
      <c r="BF51" s="34">
        <f t="shared" si="36"/>
        <v>3</v>
      </c>
      <c r="ET51" s="93">
        <v>35</v>
      </c>
      <c r="EU51" s="94" t="str">
        <f>DEC2HEX($ET51,2)</f>
        <v>23</v>
      </c>
      <c r="EV51" s="95" t="str">
        <f>DEC2HEX(syndrome($ET51,HEX2DEC($Y$33),HEX2DEC($Z$33),HEX2DEC($AA$33)),1)</f>
        <v>F</v>
      </c>
      <c r="EW51" s="95">
        <f>errpos(HEX2DEC($EV51),HEX2DEC($O$18),HEX2DEC($P$18),HEX2DEC($Q$18),HEX2DEC($R$18),HEX2DEC($S$18),HEX2DEC($T$18),HEX2DEC($U$18),HEX2DEC($V$18))</f>
        <v>4</v>
      </c>
      <c r="EX51" s="95" t="str">
        <f>IF(isNotAbleCollect(HEX2DEC($EV51),$EW51),"×","-")</f>
        <v>-</v>
      </c>
      <c r="EY51" s="96" t="str">
        <f>DEC2HEX(collectValue($ET51,HEX2DEC($EV51),HEX2DEC($EW51)),2)</f>
        <v>0B</v>
      </c>
    </row>
    <row r="52" spans="1:156" ht="14.25" thickTop="1" thickBot="1" x14ac:dyDescent="0.2">
      <c r="A52" s="2" t="s">
        <v>50</v>
      </c>
      <c r="B52" s="21">
        <f t="shared" ref="B52:Q52" si="40">IF(_xlfn.XOR(_xlfn.XOR(_xlfn.XOR($B$40*B$46,$C$40*B$47),$D$40*B$48),$E$40*B$49),1,0)</f>
        <v>0</v>
      </c>
      <c r="C52" s="22">
        <f t="shared" si="40"/>
        <v>1</v>
      </c>
      <c r="D52" s="22">
        <f t="shared" si="40"/>
        <v>1</v>
      </c>
      <c r="E52" s="22">
        <f t="shared" si="40"/>
        <v>0</v>
      </c>
      <c r="F52" s="22">
        <f t="shared" si="40"/>
        <v>0</v>
      </c>
      <c r="G52" s="22">
        <f t="shared" si="40"/>
        <v>1</v>
      </c>
      <c r="H52" s="22">
        <f t="shared" si="40"/>
        <v>1</v>
      </c>
      <c r="I52" s="22">
        <f t="shared" si="40"/>
        <v>0</v>
      </c>
      <c r="J52" s="22">
        <f t="shared" si="40"/>
        <v>1</v>
      </c>
      <c r="K52" s="22">
        <f t="shared" si="40"/>
        <v>0</v>
      </c>
      <c r="L52" s="22">
        <f t="shared" si="40"/>
        <v>0</v>
      </c>
      <c r="M52" s="22">
        <f t="shared" si="40"/>
        <v>1</v>
      </c>
      <c r="N52" s="22">
        <f t="shared" si="40"/>
        <v>1</v>
      </c>
      <c r="O52" s="22">
        <f t="shared" si="40"/>
        <v>0</v>
      </c>
      <c r="P52" s="22">
        <f t="shared" si="40"/>
        <v>0</v>
      </c>
      <c r="Q52" s="23">
        <f t="shared" si="40"/>
        <v>1</v>
      </c>
      <c r="T52" s="17">
        <f>$H$46</f>
        <v>0</v>
      </c>
      <c r="U52" s="17">
        <f>$H$47</f>
        <v>1</v>
      </c>
      <c r="V52" s="17">
        <f>$H$48</f>
        <v>1</v>
      </c>
      <c r="W52" s="17">
        <f>$H$49</f>
        <v>0</v>
      </c>
      <c r="X52" s="18">
        <f>$H$51</f>
        <v>1</v>
      </c>
      <c r="Y52" s="18">
        <f>$H$52</f>
        <v>1</v>
      </c>
      <c r="Z52" s="18">
        <f>$H$53</f>
        <v>0</v>
      </c>
      <c r="AA52" s="19">
        <f>$H$55</f>
        <v>0</v>
      </c>
      <c r="AB52" s="2" t="s">
        <v>18</v>
      </c>
      <c r="AC52" s="17">
        <f t="shared" si="28"/>
        <v>0</v>
      </c>
      <c r="AD52" s="17">
        <f t="shared" si="29"/>
        <v>1</v>
      </c>
      <c r="AE52" s="17">
        <f t="shared" si="30"/>
        <v>1</v>
      </c>
      <c r="AF52" s="17">
        <f t="shared" si="31"/>
        <v>0</v>
      </c>
      <c r="AG52" s="18">
        <f t="shared" si="32"/>
        <v>1</v>
      </c>
      <c r="AH52" s="18">
        <f t="shared" si="33"/>
        <v>1</v>
      </c>
      <c r="AI52" s="18">
        <f t="shared" si="34"/>
        <v>0</v>
      </c>
      <c r="AJ52" s="19">
        <f t="shared" si="35"/>
        <v>0</v>
      </c>
      <c r="AK52" s="13"/>
      <c r="AL52" s="19">
        <f t="shared" si="37"/>
        <v>0</v>
      </c>
      <c r="AM52" s="2" t="str">
        <f t="shared" si="38"/>
        <v>OK</v>
      </c>
      <c r="AP52" s="2" t="s">
        <v>25</v>
      </c>
      <c r="AQ52" s="34">
        <f t="shared" si="36"/>
        <v>4</v>
      </c>
      <c r="AR52" s="34">
        <f t="shared" si="36"/>
        <v>3</v>
      </c>
      <c r="AS52" s="34">
        <f t="shared" si="36"/>
        <v>3</v>
      </c>
      <c r="AT52" s="34">
        <f t="shared" si="36"/>
        <v>4</v>
      </c>
      <c r="AU52" s="34">
        <f t="shared" si="36"/>
        <v>3</v>
      </c>
      <c r="AV52" s="34">
        <f t="shared" si="36"/>
        <v>4</v>
      </c>
      <c r="AW52" s="19">
        <f t="shared" si="36"/>
        <v>0</v>
      </c>
      <c r="AX52" s="34">
        <f t="shared" si="36"/>
        <v>3</v>
      </c>
      <c r="AY52" s="34">
        <f t="shared" si="36"/>
        <v>4</v>
      </c>
      <c r="AZ52" s="34">
        <f t="shared" si="36"/>
        <v>7</v>
      </c>
      <c r="BA52" s="34">
        <f t="shared" si="36"/>
        <v>3</v>
      </c>
      <c r="BB52" s="34">
        <f t="shared" si="36"/>
        <v>4</v>
      </c>
      <c r="BC52" s="34">
        <f t="shared" si="36"/>
        <v>3</v>
      </c>
      <c r="BD52" s="34">
        <f t="shared" si="36"/>
        <v>4</v>
      </c>
      <c r="BE52" s="34">
        <f t="shared" si="36"/>
        <v>4</v>
      </c>
      <c r="BF52" s="34">
        <f t="shared" si="36"/>
        <v>3</v>
      </c>
      <c r="ET52" s="93">
        <v>36</v>
      </c>
      <c r="EU52" s="94" t="str">
        <f>DEC2HEX($ET52,2)</f>
        <v>24</v>
      </c>
      <c r="EV52" s="95" t="str">
        <f>DEC2HEX(syndrome($ET52,HEX2DEC($Y$33),HEX2DEC($Z$33),HEX2DEC($AA$33)),1)</f>
        <v>7</v>
      </c>
      <c r="EW52" s="95">
        <f>errpos(HEX2DEC($EV52),HEX2DEC($O$18),HEX2DEC($P$18),HEX2DEC($Q$18),HEX2DEC($R$18),HEX2DEC($S$18),HEX2DEC($T$18),HEX2DEC($U$18),HEX2DEC($V$18))</f>
        <v>0</v>
      </c>
      <c r="EX52" s="95" t="str">
        <f>IF(isNotAbleCollect(HEX2DEC($EV52),$EW52),"×","-")</f>
        <v>×</v>
      </c>
      <c r="EY52" s="96" t="str">
        <f>DEC2HEX(collectValue($ET52,HEX2DEC($EV52),HEX2DEC($EW52)),2)</f>
        <v>FF</v>
      </c>
    </row>
    <row r="53" spans="1:156" ht="14.25" thickTop="1" thickBot="1" x14ac:dyDescent="0.2">
      <c r="A53" s="2" t="s">
        <v>51</v>
      </c>
      <c r="B53" s="21">
        <f t="shared" ref="B53:Q53" si="41">IF(_xlfn.XOR(_xlfn.XOR(_xlfn.XOR($B$41*B$46,$C$41*B$47),$D$41*B$48),$E$41*B$49),1,0)</f>
        <v>0</v>
      </c>
      <c r="C53" s="22">
        <f t="shared" si="41"/>
        <v>0</v>
      </c>
      <c r="D53" s="22">
        <f t="shared" si="41"/>
        <v>1</v>
      </c>
      <c r="E53" s="22">
        <f t="shared" si="41"/>
        <v>1</v>
      </c>
      <c r="F53" s="22">
        <f t="shared" si="41"/>
        <v>1</v>
      </c>
      <c r="G53" s="22">
        <f t="shared" si="41"/>
        <v>1</v>
      </c>
      <c r="H53" s="22">
        <f t="shared" si="41"/>
        <v>0</v>
      </c>
      <c r="I53" s="22">
        <f t="shared" si="41"/>
        <v>0</v>
      </c>
      <c r="J53" s="22">
        <f t="shared" si="41"/>
        <v>1</v>
      </c>
      <c r="K53" s="22">
        <f t="shared" si="41"/>
        <v>1</v>
      </c>
      <c r="L53" s="22">
        <f t="shared" si="41"/>
        <v>0</v>
      </c>
      <c r="M53" s="22">
        <f t="shared" si="41"/>
        <v>0</v>
      </c>
      <c r="N53" s="22">
        <f t="shared" si="41"/>
        <v>0</v>
      </c>
      <c r="O53" s="22">
        <f t="shared" si="41"/>
        <v>0</v>
      </c>
      <c r="P53" s="22">
        <f t="shared" si="41"/>
        <v>1</v>
      </c>
      <c r="Q53" s="23">
        <f t="shared" si="41"/>
        <v>1</v>
      </c>
      <c r="T53" s="17">
        <f>$I$46</f>
        <v>1</v>
      </c>
      <c r="U53" s="17">
        <f>$I$47</f>
        <v>1</v>
      </c>
      <c r="V53" s="17">
        <f>$I$48</f>
        <v>1</v>
      </c>
      <c r="W53" s="17">
        <f>$I$49</f>
        <v>0</v>
      </c>
      <c r="X53" s="18">
        <f>$I$51</f>
        <v>0</v>
      </c>
      <c r="Y53" s="18">
        <f>$I$52</f>
        <v>0</v>
      </c>
      <c r="Z53" s="18">
        <f>$I$53</f>
        <v>0</v>
      </c>
      <c r="AA53" s="19">
        <f>$I$55</f>
        <v>1</v>
      </c>
      <c r="AB53" s="2" t="s">
        <v>18</v>
      </c>
      <c r="AC53" s="17">
        <f t="shared" si="28"/>
        <v>1</v>
      </c>
      <c r="AD53" s="17">
        <f t="shared" si="29"/>
        <v>1</v>
      </c>
      <c r="AE53" s="17">
        <f t="shared" si="30"/>
        <v>1</v>
      </c>
      <c r="AF53" s="17">
        <f t="shared" si="31"/>
        <v>0</v>
      </c>
      <c r="AG53" s="18">
        <f t="shared" si="32"/>
        <v>0</v>
      </c>
      <c r="AH53" s="18">
        <f t="shared" si="33"/>
        <v>0</v>
      </c>
      <c r="AI53" s="18">
        <f t="shared" si="34"/>
        <v>0</v>
      </c>
      <c r="AJ53" s="19">
        <f t="shared" si="35"/>
        <v>1</v>
      </c>
      <c r="AK53" s="13"/>
      <c r="AL53" s="19">
        <f t="shared" si="37"/>
        <v>1</v>
      </c>
      <c r="AM53" s="2" t="str">
        <f t="shared" si="38"/>
        <v>OK</v>
      </c>
      <c r="AP53" s="2" t="s">
        <v>25</v>
      </c>
      <c r="AQ53" s="34">
        <f t="shared" si="36"/>
        <v>3</v>
      </c>
      <c r="AR53" s="34">
        <f t="shared" si="36"/>
        <v>4</v>
      </c>
      <c r="AS53" s="34">
        <f t="shared" si="36"/>
        <v>4</v>
      </c>
      <c r="AT53" s="34">
        <f t="shared" si="36"/>
        <v>3</v>
      </c>
      <c r="AU53" s="34">
        <f t="shared" si="36"/>
        <v>4</v>
      </c>
      <c r="AV53" s="34">
        <f t="shared" si="36"/>
        <v>3</v>
      </c>
      <c r="AW53" s="34">
        <f t="shared" si="36"/>
        <v>3</v>
      </c>
      <c r="AX53" s="19">
        <f t="shared" si="36"/>
        <v>0</v>
      </c>
      <c r="AY53" s="34">
        <f t="shared" si="36"/>
        <v>7</v>
      </c>
      <c r="AZ53" s="34">
        <f t="shared" si="36"/>
        <v>4</v>
      </c>
      <c r="BA53" s="34">
        <f t="shared" si="36"/>
        <v>4</v>
      </c>
      <c r="BB53" s="34">
        <f t="shared" si="36"/>
        <v>3</v>
      </c>
      <c r="BC53" s="34">
        <f t="shared" si="36"/>
        <v>4</v>
      </c>
      <c r="BD53" s="34">
        <f t="shared" si="36"/>
        <v>3</v>
      </c>
      <c r="BE53" s="34">
        <f t="shared" si="36"/>
        <v>3</v>
      </c>
      <c r="BF53" s="34">
        <f t="shared" si="36"/>
        <v>4</v>
      </c>
      <c r="ET53" s="93">
        <v>37</v>
      </c>
      <c r="EU53" s="94" t="str">
        <f>DEC2HEX($ET53,2)</f>
        <v>25</v>
      </c>
      <c r="EV53" s="95" t="str">
        <f>DEC2HEX(syndrome($ET53,HEX2DEC($Y$33),HEX2DEC($Z$33),HEX2DEC($AA$33)),1)</f>
        <v>C</v>
      </c>
      <c r="EW53" s="95">
        <f>errpos(HEX2DEC($EV53),HEX2DEC($O$18),HEX2DEC($P$18),HEX2DEC($Q$18),HEX2DEC($R$18),HEX2DEC($S$18),HEX2DEC($T$18),HEX2DEC($U$18),HEX2DEC($V$18))</f>
        <v>7</v>
      </c>
      <c r="EX53" s="95" t="str">
        <f>IF(isNotAbleCollect(HEX2DEC($EV53),$EW53),"×","-")</f>
        <v>-</v>
      </c>
      <c r="EY53" s="96" t="str">
        <f>DEC2HEX(collectValue($ET53,HEX2DEC($EV53),HEX2DEC($EW53)),2)</f>
        <v>05</v>
      </c>
    </row>
    <row r="54" spans="1:156" ht="12.75" thickTop="1" thickBot="1" x14ac:dyDescent="0.2">
      <c r="B54" s="2" t="s">
        <v>30</v>
      </c>
      <c r="T54" s="17">
        <f>$J$46</f>
        <v>0</v>
      </c>
      <c r="U54" s="17">
        <f>$J$47</f>
        <v>0</v>
      </c>
      <c r="V54" s="17">
        <f>$J$48</f>
        <v>0</v>
      </c>
      <c r="W54" s="17">
        <f>$J$49</f>
        <v>1</v>
      </c>
      <c r="X54" s="18">
        <f>$J$51</f>
        <v>1</v>
      </c>
      <c r="Y54" s="18">
        <f>$J$52</f>
        <v>1</v>
      </c>
      <c r="Z54" s="18">
        <f>$J$53</f>
        <v>1</v>
      </c>
      <c r="AA54" s="19">
        <f>$J$55</f>
        <v>0</v>
      </c>
      <c r="AB54" s="2" t="s">
        <v>18</v>
      </c>
      <c r="AC54" s="17">
        <f t="shared" si="28"/>
        <v>0</v>
      </c>
      <c r="AD54" s="17">
        <f t="shared" si="29"/>
        <v>0</v>
      </c>
      <c r="AE54" s="17">
        <f t="shared" si="30"/>
        <v>0</v>
      </c>
      <c r="AF54" s="17">
        <f t="shared" si="31"/>
        <v>1</v>
      </c>
      <c r="AG54" s="18">
        <f t="shared" si="32"/>
        <v>1</v>
      </c>
      <c r="AH54" s="18">
        <f t="shared" si="33"/>
        <v>1</v>
      </c>
      <c r="AI54" s="18">
        <f t="shared" si="34"/>
        <v>1</v>
      </c>
      <c r="AJ54" s="19">
        <f t="shared" si="35"/>
        <v>0</v>
      </c>
      <c r="AK54" s="13"/>
      <c r="AL54" s="19">
        <f t="shared" si="37"/>
        <v>0</v>
      </c>
      <c r="AM54" s="2" t="str">
        <f t="shared" si="38"/>
        <v>OK</v>
      </c>
      <c r="AP54" s="2" t="s">
        <v>25</v>
      </c>
      <c r="AQ54" s="34">
        <f t="shared" si="36"/>
        <v>4</v>
      </c>
      <c r="AR54" s="34">
        <f t="shared" si="36"/>
        <v>3</v>
      </c>
      <c r="AS54" s="34">
        <f t="shared" si="36"/>
        <v>3</v>
      </c>
      <c r="AT54" s="34">
        <f t="shared" si="36"/>
        <v>4</v>
      </c>
      <c r="AU54" s="34">
        <f t="shared" si="36"/>
        <v>3</v>
      </c>
      <c r="AV54" s="34">
        <f t="shared" si="36"/>
        <v>4</v>
      </c>
      <c r="AW54" s="34">
        <f t="shared" si="36"/>
        <v>4</v>
      </c>
      <c r="AX54" s="34">
        <f t="shared" si="36"/>
        <v>7</v>
      </c>
      <c r="AY54" s="19">
        <f t="shared" si="36"/>
        <v>0</v>
      </c>
      <c r="AZ54" s="34">
        <f t="shared" si="36"/>
        <v>3</v>
      </c>
      <c r="BA54" s="34">
        <f t="shared" si="36"/>
        <v>3</v>
      </c>
      <c r="BB54" s="34">
        <f t="shared" si="36"/>
        <v>4</v>
      </c>
      <c r="BC54" s="34">
        <f t="shared" si="36"/>
        <v>3</v>
      </c>
      <c r="BD54" s="34">
        <f t="shared" si="36"/>
        <v>4</v>
      </c>
      <c r="BE54" s="34">
        <f t="shared" si="36"/>
        <v>4</v>
      </c>
      <c r="BF54" s="34">
        <f t="shared" si="36"/>
        <v>3</v>
      </c>
      <c r="ET54" s="93">
        <v>38</v>
      </c>
      <c r="EU54" s="94" t="str">
        <f>DEC2HEX($ET54,2)</f>
        <v>26</v>
      </c>
      <c r="EV54" s="95" t="str">
        <f>DEC2HEX(syndrome($ET54,HEX2DEC($Y$33),HEX2DEC($Z$33),HEX2DEC($AA$33)),1)</f>
        <v>9</v>
      </c>
      <c r="EW54" s="95">
        <f>errpos(HEX2DEC($EV54),HEX2DEC($O$18),HEX2DEC($P$18),HEX2DEC($Q$18),HEX2DEC($R$18),HEX2DEC($S$18),HEX2DEC($T$18),HEX2DEC($U$18),HEX2DEC($V$18))</f>
        <v>5</v>
      </c>
      <c r="EX54" s="95" t="str">
        <f>IF(isNotAbleCollect(HEX2DEC($EV54),$EW54),"×","-")</f>
        <v>-</v>
      </c>
      <c r="EY54" s="96" t="str">
        <f>DEC2HEX(collectValue($ET54,HEX2DEC($EV54),HEX2DEC($EW54)),2)</f>
        <v>06</v>
      </c>
    </row>
    <row r="55" spans="1:156" ht="12.75" thickTop="1" thickBot="1" x14ac:dyDescent="0.2">
      <c r="A55" s="2" t="s">
        <v>16</v>
      </c>
      <c r="B55" s="25">
        <f t="shared" ref="B55:Q55" si="42">IF(_xlfn.XOR(B46,_xlfn.XOR(B47,_xlfn.XOR(B48,_xlfn.XOR(B49,_xlfn.XOR(B51,_xlfn.XOR(B52,B53)))))),1,0)</f>
        <v>0</v>
      </c>
      <c r="C55" s="26">
        <f t="shared" si="42"/>
        <v>1</v>
      </c>
      <c r="D55" s="26">
        <f t="shared" si="42"/>
        <v>1</v>
      </c>
      <c r="E55" s="26">
        <f t="shared" si="42"/>
        <v>0</v>
      </c>
      <c r="F55" s="26">
        <f t="shared" si="42"/>
        <v>1</v>
      </c>
      <c r="G55" s="26">
        <f t="shared" si="42"/>
        <v>0</v>
      </c>
      <c r="H55" s="26">
        <f t="shared" si="42"/>
        <v>0</v>
      </c>
      <c r="I55" s="26">
        <f t="shared" si="42"/>
        <v>1</v>
      </c>
      <c r="J55" s="26">
        <f t="shared" si="42"/>
        <v>0</v>
      </c>
      <c r="K55" s="26">
        <f t="shared" si="42"/>
        <v>1</v>
      </c>
      <c r="L55" s="26">
        <f t="shared" si="42"/>
        <v>1</v>
      </c>
      <c r="M55" s="26">
        <f t="shared" si="42"/>
        <v>0</v>
      </c>
      <c r="N55" s="26">
        <f t="shared" si="42"/>
        <v>1</v>
      </c>
      <c r="O55" s="26">
        <f t="shared" si="42"/>
        <v>0</v>
      </c>
      <c r="P55" s="26">
        <f t="shared" si="42"/>
        <v>0</v>
      </c>
      <c r="Q55" s="27">
        <f t="shared" si="42"/>
        <v>1</v>
      </c>
      <c r="T55" s="17">
        <f>$K$46</f>
        <v>1</v>
      </c>
      <c r="U55" s="17">
        <f>$K$47</f>
        <v>0</v>
      </c>
      <c r="V55" s="17">
        <f>$K$48</f>
        <v>0</v>
      </c>
      <c r="W55" s="17">
        <f>$K$49</f>
        <v>1</v>
      </c>
      <c r="X55" s="18">
        <f>$K$51</f>
        <v>0</v>
      </c>
      <c r="Y55" s="18">
        <f>$K$52</f>
        <v>0</v>
      </c>
      <c r="Z55" s="18">
        <f>$K$53</f>
        <v>1</v>
      </c>
      <c r="AA55" s="19">
        <f>$K$55</f>
        <v>1</v>
      </c>
      <c r="AB55" s="2" t="s">
        <v>18</v>
      </c>
      <c r="AC55" s="17">
        <f t="shared" si="28"/>
        <v>1</v>
      </c>
      <c r="AD55" s="17">
        <f t="shared" si="29"/>
        <v>0</v>
      </c>
      <c r="AE55" s="17">
        <f t="shared" si="30"/>
        <v>0</v>
      </c>
      <c r="AF55" s="17">
        <f t="shared" si="31"/>
        <v>1</v>
      </c>
      <c r="AG55" s="18">
        <f t="shared" si="32"/>
        <v>0</v>
      </c>
      <c r="AH55" s="18">
        <f t="shared" si="33"/>
        <v>0</v>
      </c>
      <c r="AI55" s="18">
        <f t="shared" si="34"/>
        <v>1</v>
      </c>
      <c r="AJ55" s="19">
        <f t="shared" si="35"/>
        <v>1</v>
      </c>
      <c r="AK55" s="13"/>
      <c r="AL55" s="19">
        <f t="shared" si="37"/>
        <v>1</v>
      </c>
      <c r="AM55" s="2" t="str">
        <f t="shared" si="38"/>
        <v>OK</v>
      </c>
      <c r="AP55" s="2" t="s">
        <v>25</v>
      </c>
      <c r="AQ55" s="34">
        <f t="shared" si="36"/>
        <v>3</v>
      </c>
      <c r="AR55" s="34">
        <f t="shared" si="36"/>
        <v>4</v>
      </c>
      <c r="AS55" s="34">
        <f t="shared" si="36"/>
        <v>4</v>
      </c>
      <c r="AT55" s="34">
        <f t="shared" si="36"/>
        <v>3</v>
      </c>
      <c r="AU55" s="34">
        <f t="shared" si="36"/>
        <v>4</v>
      </c>
      <c r="AV55" s="34">
        <f t="shared" si="36"/>
        <v>3</v>
      </c>
      <c r="AW55" s="34">
        <f t="shared" si="36"/>
        <v>7</v>
      </c>
      <c r="AX55" s="34">
        <f t="shared" si="36"/>
        <v>4</v>
      </c>
      <c r="AY55" s="34">
        <f t="shared" si="36"/>
        <v>3</v>
      </c>
      <c r="AZ55" s="19">
        <f t="shared" si="36"/>
        <v>0</v>
      </c>
      <c r="BA55" s="34">
        <f t="shared" si="36"/>
        <v>4</v>
      </c>
      <c r="BB55" s="34">
        <f t="shared" si="36"/>
        <v>3</v>
      </c>
      <c r="BC55" s="34">
        <f t="shared" si="36"/>
        <v>4</v>
      </c>
      <c r="BD55" s="34">
        <f t="shared" si="36"/>
        <v>3</v>
      </c>
      <c r="BE55" s="34">
        <f t="shared" si="36"/>
        <v>3</v>
      </c>
      <c r="BF55" s="34">
        <f t="shared" si="36"/>
        <v>4</v>
      </c>
      <c r="ET55" s="93">
        <v>39</v>
      </c>
      <c r="EU55" s="94" t="str">
        <f>DEC2HEX($ET55,2)</f>
        <v>27</v>
      </c>
      <c r="EV55" s="95" t="str">
        <f>DEC2HEX(syndrome($ET55,HEX2DEC($Y$33),HEX2DEC($Z$33),HEX2DEC($AA$33)),1)</f>
        <v>2</v>
      </c>
      <c r="EW55" s="95">
        <f>errpos(HEX2DEC($EV55),HEX2DEC($O$18),HEX2DEC($P$18),HEX2DEC($Q$18),HEX2DEC($R$18),HEX2DEC($S$18),HEX2DEC($T$18),HEX2DEC($U$18),HEX2DEC($V$18))</f>
        <v>0</v>
      </c>
      <c r="EX55" s="95" t="str">
        <f>IF(isNotAbleCollect(HEX2DEC($EV55),$EW55),"×","-")</f>
        <v>×</v>
      </c>
      <c r="EY55" s="96" t="str">
        <f>DEC2HEX(collectValue($ET55,HEX2DEC($EV55),HEX2DEC($EW55)),2)</f>
        <v>FF</v>
      </c>
    </row>
    <row r="56" spans="1:156" ht="12.75" thickTop="1" thickBot="1" x14ac:dyDescent="0.2">
      <c r="T56" s="17">
        <f>$L$46</f>
        <v>0</v>
      </c>
      <c r="U56" s="17">
        <f>$L$47</f>
        <v>1</v>
      </c>
      <c r="V56" s="17">
        <f>$L$48</f>
        <v>0</v>
      </c>
      <c r="W56" s="17">
        <f>$L$49</f>
        <v>1</v>
      </c>
      <c r="X56" s="18">
        <f>$L$51</f>
        <v>1</v>
      </c>
      <c r="Y56" s="18">
        <f>$L$52</f>
        <v>0</v>
      </c>
      <c r="Z56" s="18">
        <f>$L$53</f>
        <v>0</v>
      </c>
      <c r="AA56" s="19">
        <f>$L$55</f>
        <v>1</v>
      </c>
      <c r="AB56" s="2" t="s">
        <v>18</v>
      </c>
      <c r="AC56" s="17">
        <f t="shared" si="28"/>
        <v>0</v>
      </c>
      <c r="AD56" s="17">
        <f t="shared" si="29"/>
        <v>1</v>
      </c>
      <c r="AE56" s="17">
        <f t="shared" si="30"/>
        <v>0</v>
      </c>
      <c r="AF56" s="17">
        <f t="shared" si="31"/>
        <v>1</v>
      </c>
      <c r="AG56" s="18">
        <f t="shared" si="32"/>
        <v>1</v>
      </c>
      <c r="AH56" s="18">
        <f t="shared" si="33"/>
        <v>0</v>
      </c>
      <c r="AI56" s="18">
        <f t="shared" si="34"/>
        <v>0</v>
      </c>
      <c r="AJ56" s="19">
        <f t="shared" si="35"/>
        <v>1</v>
      </c>
      <c r="AK56" s="13"/>
      <c r="AL56" s="19">
        <f t="shared" si="37"/>
        <v>1</v>
      </c>
      <c r="AM56" s="2" t="str">
        <f t="shared" si="38"/>
        <v>OK</v>
      </c>
      <c r="AP56" s="2" t="s">
        <v>25</v>
      </c>
      <c r="AQ56" s="34">
        <f t="shared" ref="AQ56:BF61" si="43">IF($AC56&lt;&gt;AQ$63,1,0)+IF($AD56&lt;&gt;AQ$64,1,0)+IF($AE56&lt;&gt;AQ$65,1,0)+IF($AF56&lt;&gt;AQ$66,1,0)+IF($AG56&lt;&gt;AQ$67,1,0)+IF($AH56&lt;&gt;AQ$68,1,0)+IF($AI56&lt;&gt;AQ$69,1,0)</f>
        <v>3</v>
      </c>
      <c r="AR56" s="34">
        <f t="shared" si="43"/>
        <v>4</v>
      </c>
      <c r="AS56" s="34">
        <f t="shared" si="43"/>
        <v>4</v>
      </c>
      <c r="AT56" s="34">
        <f t="shared" si="43"/>
        <v>3</v>
      </c>
      <c r="AU56" s="34">
        <f t="shared" si="43"/>
        <v>4</v>
      </c>
      <c r="AV56" s="34">
        <f t="shared" si="43"/>
        <v>7</v>
      </c>
      <c r="AW56" s="34">
        <f t="shared" si="43"/>
        <v>3</v>
      </c>
      <c r="AX56" s="34">
        <f t="shared" si="43"/>
        <v>4</v>
      </c>
      <c r="AY56" s="34">
        <f t="shared" si="43"/>
        <v>3</v>
      </c>
      <c r="AZ56" s="34">
        <f t="shared" si="43"/>
        <v>4</v>
      </c>
      <c r="BA56" s="19">
        <f t="shared" si="43"/>
        <v>0</v>
      </c>
      <c r="BB56" s="34">
        <f t="shared" si="43"/>
        <v>3</v>
      </c>
      <c r="BC56" s="34">
        <f t="shared" si="43"/>
        <v>4</v>
      </c>
      <c r="BD56" s="34">
        <f t="shared" si="43"/>
        <v>3</v>
      </c>
      <c r="BE56" s="34">
        <f t="shared" si="43"/>
        <v>3</v>
      </c>
      <c r="BF56" s="34">
        <f t="shared" si="43"/>
        <v>4</v>
      </c>
      <c r="ET56" s="93">
        <v>40</v>
      </c>
      <c r="EU56" s="94" t="str">
        <f>DEC2HEX($ET56,2)</f>
        <v>28</v>
      </c>
      <c r="EV56" s="95" t="str">
        <f>DEC2HEX(syndrome($ET56,HEX2DEC($Y$33),HEX2DEC($Z$33),HEX2DEC($AA$33)),1)</f>
        <v>5</v>
      </c>
      <c r="EW56" s="95">
        <f>errpos(HEX2DEC($EV56),HEX2DEC($O$18),HEX2DEC($P$18),HEX2DEC($Q$18),HEX2DEC($R$18),HEX2DEC($S$18),HEX2DEC($T$18),HEX2DEC($U$18),HEX2DEC($V$18))</f>
        <v>0</v>
      </c>
      <c r="EX56" s="95" t="str">
        <f>IF(isNotAbleCollect(HEX2DEC($EV56),$EW56),"×","-")</f>
        <v>×</v>
      </c>
      <c r="EY56" s="96" t="str">
        <f>DEC2HEX(collectValue($ET56,HEX2DEC($EV56),HEX2DEC($EW56)),2)</f>
        <v>FF</v>
      </c>
    </row>
    <row r="57" spans="1:156" ht="15" thickTop="1" thickBot="1" x14ac:dyDescent="0.2">
      <c r="B57" s="2" t="s">
        <v>32</v>
      </c>
      <c r="T57" s="17">
        <f>$M$46</f>
        <v>1</v>
      </c>
      <c r="U57" s="17">
        <f>$M$47</f>
        <v>1</v>
      </c>
      <c r="V57" s="17">
        <f>$M$48</f>
        <v>0</v>
      </c>
      <c r="W57" s="17">
        <f>$M$49</f>
        <v>1</v>
      </c>
      <c r="X57" s="18">
        <f>$M$51</f>
        <v>0</v>
      </c>
      <c r="Y57" s="18">
        <f>$M$52</f>
        <v>1</v>
      </c>
      <c r="Z57" s="18">
        <f>$M$53</f>
        <v>0</v>
      </c>
      <c r="AA57" s="19">
        <f>$M$55</f>
        <v>0</v>
      </c>
      <c r="AB57" s="2" t="s">
        <v>18</v>
      </c>
      <c r="AC57" s="17">
        <f t="shared" si="28"/>
        <v>1</v>
      </c>
      <c r="AD57" s="17">
        <f t="shared" si="29"/>
        <v>1</v>
      </c>
      <c r="AE57" s="17">
        <f t="shared" si="30"/>
        <v>0</v>
      </c>
      <c r="AF57" s="17">
        <f t="shared" si="31"/>
        <v>1</v>
      </c>
      <c r="AG57" s="18">
        <f t="shared" si="32"/>
        <v>0</v>
      </c>
      <c r="AH57" s="18">
        <f t="shared" si="33"/>
        <v>1</v>
      </c>
      <c r="AI57" s="18">
        <f t="shared" si="34"/>
        <v>0</v>
      </c>
      <c r="AJ57" s="19">
        <f t="shared" si="35"/>
        <v>0</v>
      </c>
      <c r="AK57" s="13"/>
      <c r="AL57" s="19">
        <f t="shared" si="37"/>
        <v>0</v>
      </c>
      <c r="AM57" s="2" t="str">
        <f t="shared" si="38"/>
        <v>OK</v>
      </c>
      <c r="AP57" s="2" t="s">
        <v>25</v>
      </c>
      <c r="AQ57" s="34">
        <f t="shared" si="43"/>
        <v>4</v>
      </c>
      <c r="AR57" s="34">
        <f t="shared" si="43"/>
        <v>3</v>
      </c>
      <c r="AS57" s="34">
        <f t="shared" si="43"/>
        <v>3</v>
      </c>
      <c r="AT57" s="34">
        <f t="shared" si="43"/>
        <v>4</v>
      </c>
      <c r="AU57" s="34">
        <f t="shared" si="43"/>
        <v>7</v>
      </c>
      <c r="AV57" s="34">
        <f t="shared" si="43"/>
        <v>4</v>
      </c>
      <c r="AW57" s="34">
        <f t="shared" si="43"/>
        <v>4</v>
      </c>
      <c r="AX57" s="34">
        <f t="shared" si="43"/>
        <v>3</v>
      </c>
      <c r="AY57" s="34">
        <f t="shared" si="43"/>
        <v>4</v>
      </c>
      <c r="AZ57" s="34">
        <f t="shared" si="43"/>
        <v>3</v>
      </c>
      <c r="BA57" s="34">
        <f t="shared" si="43"/>
        <v>3</v>
      </c>
      <c r="BB57" s="19">
        <f t="shared" si="43"/>
        <v>0</v>
      </c>
      <c r="BC57" s="34">
        <f t="shared" si="43"/>
        <v>3</v>
      </c>
      <c r="BD57" s="34">
        <f t="shared" si="43"/>
        <v>4</v>
      </c>
      <c r="BE57" s="34">
        <f t="shared" si="43"/>
        <v>4</v>
      </c>
      <c r="BF57" s="34">
        <f t="shared" si="43"/>
        <v>3</v>
      </c>
      <c r="ET57" s="93">
        <v>41</v>
      </c>
      <c r="EU57" s="94" t="str">
        <f>DEC2HEX($ET57,2)</f>
        <v>29</v>
      </c>
      <c r="EV57" s="95" t="str">
        <f>DEC2HEX(syndrome($ET57,HEX2DEC($Y$33),HEX2DEC($Z$33),HEX2DEC($AA$33)),1)</f>
        <v>E</v>
      </c>
      <c r="EW57" s="95">
        <f>errpos(HEX2DEC($EV57),HEX2DEC($O$18),HEX2DEC($P$18),HEX2DEC($Q$18),HEX2DEC($R$18),HEX2DEC($S$18),HEX2DEC($T$18),HEX2DEC($U$18),HEX2DEC($V$18))</f>
        <v>2</v>
      </c>
      <c r="EX57" s="95" t="str">
        <f>IF(isNotAbleCollect(HEX2DEC($EV57),$EW57),"×","-")</f>
        <v>-</v>
      </c>
      <c r="EY57" s="96" t="str">
        <f>DEC2HEX(collectValue($ET57,HEX2DEC($EV57),HEX2DEC($EW57)),2)</f>
        <v>0B</v>
      </c>
    </row>
    <row r="58" spans="1:156" ht="15" thickTop="1" thickBot="1" x14ac:dyDescent="0.2">
      <c r="B58" s="2" t="s">
        <v>52</v>
      </c>
      <c r="T58" s="17">
        <f>$N$46</f>
        <v>0</v>
      </c>
      <c r="U58" s="17">
        <f>$N$47</f>
        <v>0</v>
      </c>
      <c r="V58" s="17">
        <f>$N$48</f>
        <v>1</v>
      </c>
      <c r="W58" s="17">
        <f>$N$49</f>
        <v>1</v>
      </c>
      <c r="X58" s="18">
        <f>$N$51</f>
        <v>0</v>
      </c>
      <c r="Y58" s="18">
        <f>$N$52</f>
        <v>1</v>
      </c>
      <c r="Z58" s="18">
        <f>$N$53</f>
        <v>0</v>
      </c>
      <c r="AA58" s="19">
        <f>$N$55</f>
        <v>1</v>
      </c>
      <c r="AB58" s="2" t="s">
        <v>18</v>
      </c>
      <c r="AC58" s="17">
        <f t="shared" si="28"/>
        <v>0</v>
      </c>
      <c r="AD58" s="17">
        <f t="shared" si="29"/>
        <v>0</v>
      </c>
      <c r="AE58" s="17">
        <f t="shared" si="30"/>
        <v>1</v>
      </c>
      <c r="AF58" s="17">
        <f t="shared" si="31"/>
        <v>1</v>
      </c>
      <c r="AG58" s="18">
        <f t="shared" si="32"/>
        <v>0</v>
      </c>
      <c r="AH58" s="18">
        <f t="shared" si="33"/>
        <v>1</v>
      </c>
      <c r="AI58" s="18">
        <f t="shared" si="34"/>
        <v>0</v>
      </c>
      <c r="AJ58" s="19">
        <f t="shared" si="35"/>
        <v>1</v>
      </c>
      <c r="AK58" s="13"/>
      <c r="AL58" s="19">
        <f t="shared" si="37"/>
        <v>1</v>
      </c>
      <c r="AM58" s="2" t="str">
        <f t="shared" si="38"/>
        <v>OK</v>
      </c>
      <c r="AP58" s="2" t="s">
        <v>25</v>
      </c>
      <c r="AQ58" s="34">
        <f t="shared" si="43"/>
        <v>3</v>
      </c>
      <c r="AR58" s="34">
        <f t="shared" si="43"/>
        <v>4</v>
      </c>
      <c r="AS58" s="34">
        <f t="shared" si="43"/>
        <v>4</v>
      </c>
      <c r="AT58" s="34">
        <f t="shared" si="43"/>
        <v>7</v>
      </c>
      <c r="AU58" s="34">
        <f t="shared" si="43"/>
        <v>4</v>
      </c>
      <c r="AV58" s="34">
        <f t="shared" si="43"/>
        <v>3</v>
      </c>
      <c r="AW58" s="34">
        <f t="shared" si="43"/>
        <v>3</v>
      </c>
      <c r="AX58" s="34">
        <f t="shared" si="43"/>
        <v>4</v>
      </c>
      <c r="AY58" s="34">
        <f t="shared" si="43"/>
        <v>3</v>
      </c>
      <c r="AZ58" s="34">
        <f t="shared" si="43"/>
        <v>4</v>
      </c>
      <c r="BA58" s="34">
        <f t="shared" si="43"/>
        <v>4</v>
      </c>
      <c r="BB58" s="34">
        <f t="shared" si="43"/>
        <v>3</v>
      </c>
      <c r="BC58" s="19">
        <f t="shared" si="43"/>
        <v>0</v>
      </c>
      <c r="BD58" s="34">
        <f t="shared" si="43"/>
        <v>3</v>
      </c>
      <c r="BE58" s="34">
        <f t="shared" si="43"/>
        <v>3</v>
      </c>
      <c r="BF58" s="34">
        <f t="shared" si="43"/>
        <v>4</v>
      </c>
      <c r="ET58" s="93">
        <v>42</v>
      </c>
      <c r="EU58" s="94" t="str">
        <f>DEC2HEX($ET58,2)</f>
        <v>2A</v>
      </c>
      <c r="EV58" s="95" t="str">
        <f>DEC2HEX(syndrome($ET58,HEX2DEC($Y$33),HEX2DEC($Z$33),HEX2DEC($AA$33)),1)</f>
        <v>B</v>
      </c>
      <c r="EW58" s="95">
        <f>errpos(HEX2DEC($EV58),HEX2DEC($O$18),HEX2DEC($P$18),HEX2DEC($Q$18),HEX2DEC($R$18),HEX2DEC($S$18),HEX2DEC($T$18),HEX2DEC($U$18),HEX2DEC($V$18))</f>
        <v>1</v>
      </c>
      <c r="EX58" s="95" t="str">
        <f>IF(isNotAbleCollect(HEX2DEC($EV58),$EW58),"×","-")</f>
        <v>-</v>
      </c>
      <c r="EY58" s="96" t="str">
        <f>DEC2HEX(collectValue($ET58,HEX2DEC($EV58),HEX2DEC($EW58)),2)</f>
        <v>0B</v>
      </c>
    </row>
    <row r="59" spans="1:156" ht="12.75" thickTop="1" thickBot="1" x14ac:dyDescent="0.2">
      <c r="T59" s="17">
        <f>$O$46</f>
        <v>1</v>
      </c>
      <c r="U59" s="17">
        <f>$O$47</f>
        <v>0</v>
      </c>
      <c r="V59" s="17">
        <f>$O$48</f>
        <v>1</v>
      </c>
      <c r="W59" s="17">
        <f>$O$49</f>
        <v>1</v>
      </c>
      <c r="X59" s="18">
        <f>$O$51</f>
        <v>1</v>
      </c>
      <c r="Y59" s="18">
        <f>$O$52</f>
        <v>0</v>
      </c>
      <c r="Z59" s="18">
        <f>$O$53</f>
        <v>0</v>
      </c>
      <c r="AA59" s="19">
        <f>$O$55</f>
        <v>0</v>
      </c>
      <c r="AB59" s="2" t="s">
        <v>18</v>
      </c>
      <c r="AC59" s="17">
        <f t="shared" si="28"/>
        <v>1</v>
      </c>
      <c r="AD59" s="17">
        <f t="shared" si="29"/>
        <v>0</v>
      </c>
      <c r="AE59" s="17">
        <f t="shared" si="30"/>
        <v>1</v>
      </c>
      <c r="AF59" s="17">
        <f t="shared" si="31"/>
        <v>1</v>
      </c>
      <c r="AG59" s="18">
        <f t="shared" si="32"/>
        <v>1</v>
      </c>
      <c r="AH59" s="18">
        <f t="shared" si="33"/>
        <v>0</v>
      </c>
      <c r="AI59" s="18">
        <f t="shared" si="34"/>
        <v>0</v>
      </c>
      <c r="AJ59" s="19">
        <f t="shared" si="35"/>
        <v>0</v>
      </c>
      <c r="AK59" s="13"/>
      <c r="AL59" s="19">
        <f t="shared" si="37"/>
        <v>0</v>
      </c>
      <c r="AM59" s="2" t="str">
        <f t="shared" si="38"/>
        <v>OK</v>
      </c>
      <c r="AP59" s="2" t="s">
        <v>25</v>
      </c>
      <c r="AQ59" s="34">
        <f t="shared" si="43"/>
        <v>4</v>
      </c>
      <c r="AR59" s="34">
        <f t="shared" si="43"/>
        <v>3</v>
      </c>
      <c r="AS59" s="34">
        <f t="shared" si="43"/>
        <v>7</v>
      </c>
      <c r="AT59" s="34">
        <f t="shared" si="43"/>
        <v>4</v>
      </c>
      <c r="AU59" s="34">
        <f t="shared" si="43"/>
        <v>3</v>
      </c>
      <c r="AV59" s="34">
        <f t="shared" si="43"/>
        <v>4</v>
      </c>
      <c r="AW59" s="34">
        <f t="shared" si="43"/>
        <v>4</v>
      </c>
      <c r="AX59" s="34">
        <f t="shared" si="43"/>
        <v>3</v>
      </c>
      <c r="AY59" s="34">
        <f t="shared" si="43"/>
        <v>4</v>
      </c>
      <c r="AZ59" s="34">
        <f t="shared" si="43"/>
        <v>3</v>
      </c>
      <c r="BA59" s="34">
        <f t="shared" si="43"/>
        <v>3</v>
      </c>
      <c r="BB59" s="34">
        <f t="shared" si="43"/>
        <v>4</v>
      </c>
      <c r="BC59" s="34">
        <f t="shared" si="43"/>
        <v>3</v>
      </c>
      <c r="BD59" s="19">
        <f t="shared" si="43"/>
        <v>0</v>
      </c>
      <c r="BE59" s="34">
        <f t="shared" si="43"/>
        <v>4</v>
      </c>
      <c r="BF59" s="34">
        <f t="shared" si="43"/>
        <v>3</v>
      </c>
      <c r="ET59" s="93">
        <v>43</v>
      </c>
      <c r="EU59" s="94" t="str">
        <f>DEC2HEX($ET59,2)</f>
        <v>2B</v>
      </c>
      <c r="EV59" s="95" t="str">
        <f>DEC2HEX(syndrome($ET59,HEX2DEC($Y$33),HEX2DEC($Z$33),HEX2DEC($AA$33)),1)</f>
        <v>0</v>
      </c>
      <c r="EW59" s="95">
        <f>errpos(HEX2DEC($EV59),HEX2DEC($O$18),HEX2DEC($P$18),HEX2DEC($Q$18),HEX2DEC($R$18),HEX2DEC($S$18),HEX2DEC($T$18),HEX2DEC($U$18),HEX2DEC($V$18))</f>
        <v>0</v>
      </c>
      <c r="EX59" s="95" t="str">
        <f>IF(isNotAbleCollect(HEX2DEC($EV59),$EW59),"×","-")</f>
        <v>-</v>
      </c>
      <c r="EY59" s="96" t="str">
        <f>DEC2HEX(collectValue($ET59,HEX2DEC($EV59),HEX2DEC($EW59)),2)</f>
        <v>0B</v>
      </c>
      <c r="EZ59" s="90">
        <v>3</v>
      </c>
    </row>
    <row r="60" spans="1:156" ht="12.75" thickTop="1" thickBot="1" x14ac:dyDescent="0.2">
      <c r="T60" s="17">
        <f>$P$46</f>
        <v>0</v>
      </c>
      <c r="U60" s="17">
        <f>$P$47</f>
        <v>1</v>
      </c>
      <c r="V60" s="17">
        <f>$P$48</f>
        <v>1</v>
      </c>
      <c r="W60" s="17">
        <f>$P$49</f>
        <v>1</v>
      </c>
      <c r="X60" s="18">
        <f>$P$51</f>
        <v>0</v>
      </c>
      <c r="Y60" s="18">
        <f>$P$52</f>
        <v>0</v>
      </c>
      <c r="Z60" s="18">
        <f>$P$53</f>
        <v>1</v>
      </c>
      <c r="AA60" s="19">
        <f>$P$55</f>
        <v>0</v>
      </c>
      <c r="AB60" s="2" t="s">
        <v>18</v>
      </c>
      <c r="AC60" s="17">
        <f t="shared" si="28"/>
        <v>0</v>
      </c>
      <c r="AD60" s="17">
        <f t="shared" si="29"/>
        <v>1</v>
      </c>
      <c r="AE60" s="17">
        <f t="shared" si="30"/>
        <v>1</v>
      </c>
      <c r="AF60" s="17">
        <f t="shared" si="31"/>
        <v>1</v>
      </c>
      <c r="AG60" s="18">
        <f t="shared" si="32"/>
        <v>0</v>
      </c>
      <c r="AH60" s="18">
        <f t="shared" si="33"/>
        <v>0</v>
      </c>
      <c r="AI60" s="18">
        <f t="shared" si="34"/>
        <v>1</v>
      </c>
      <c r="AJ60" s="19">
        <f t="shared" si="35"/>
        <v>0</v>
      </c>
      <c r="AK60" s="13"/>
      <c r="AL60" s="19">
        <f t="shared" si="37"/>
        <v>0</v>
      </c>
      <c r="AM60" s="2" t="str">
        <f t="shared" si="38"/>
        <v>OK</v>
      </c>
      <c r="AP60" s="2" t="s">
        <v>25</v>
      </c>
      <c r="AQ60" s="34">
        <f t="shared" si="43"/>
        <v>4</v>
      </c>
      <c r="AR60" s="34">
        <f t="shared" si="43"/>
        <v>7</v>
      </c>
      <c r="AS60" s="34">
        <f t="shared" si="43"/>
        <v>3</v>
      </c>
      <c r="AT60" s="34">
        <f t="shared" si="43"/>
        <v>4</v>
      </c>
      <c r="AU60" s="34">
        <f t="shared" si="43"/>
        <v>3</v>
      </c>
      <c r="AV60" s="34">
        <f t="shared" si="43"/>
        <v>4</v>
      </c>
      <c r="AW60" s="34">
        <f t="shared" si="43"/>
        <v>4</v>
      </c>
      <c r="AX60" s="34">
        <f t="shared" si="43"/>
        <v>3</v>
      </c>
      <c r="AY60" s="34">
        <f t="shared" si="43"/>
        <v>4</v>
      </c>
      <c r="AZ60" s="34">
        <f t="shared" si="43"/>
        <v>3</v>
      </c>
      <c r="BA60" s="34">
        <f t="shared" si="43"/>
        <v>3</v>
      </c>
      <c r="BB60" s="34">
        <f t="shared" si="43"/>
        <v>4</v>
      </c>
      <c r="BC60" s="34">
        <f t="shared" si="43"/>
        <v>3</v>
      </c>
      <c r="BD60" s="34">
        <f t="shared" si="43"/>
        <v>4</v>
      </c>
      <c r="BE60" s="19">
        <f t="shared" si="43"/>
        <v>0</v>
      </c>
      <c r="BF60" s="34">
        <f t="shared" si="43"/>
        <v>3</v>
      </c>
      <c r="ET60" s="93">
        <v>44</v>
      </c>
      <c r="EU60" s="94" t="str">
        <f>DEC2HEX($ET60,2)</f>
        <v>2C</v>
      </c>
      <c r="EV60" s="95" t="str">
        <f>DEC2HEX(syndrome($ET60,HEX2DEC($Y$33),HEX2DEC($Z$33),HEX2DEC($AA$33)),1)</f>
        <v>8</v>
      </c>
      <c r="EW60" s="95">
        <f>errpos(HEX2DEC($EV60),HEX2DEC($O$18),HEX2DEC($P$18),HEX2DEC($Q$18),HEX2DEC($R$18),HEX2DEC($S$18),HEX2DEC($T$18),HEX2DEC($U$18),HEX2DEC($V$18))</f>
        <v>8</v>
      </c>
      <c r="EX60" s="95" t="str">
        <f>IF(isNotAbleCollect(HEX2DEC($EV60),$EW60),"×","-")</f>
        <v>-</v>
      </c>
      <c r="EY60" s="96" t="str">
        <f>DEC2HEX(collectValue($ET60,HEX2DEC($EV60),HEX2DEC($EW60)),2)</f>
        <v>0C</v>
      </c>
    </row>
    <row r="61" spans="1:156" ht="12" thickTop="1" x14ac:dyDescent="0.15">
      <c r="T61" s="29">
        <f>$Q$46</f>
        <v>1</v>
      </c>
      <c r="U61" s="29">
        <f>$Q$47</f>
        <v>1</v>
      </c>
      <c r="V61" s="29">
        <f>$Q$48</f>
        <v>1</v>
      </c>
      <c r="W61" s="29">
        <f>$Q$49</f>
        <v>1</v>
      </c>
      <c r="X61" s="30">
        <f>$Q$51</f>
        <v>1</v>
      </c>
      <c r="Y61" s="30">
        <f>$Q$52</f>
        <v>1</v>
      </c>
      <c r="Z61" s="30">
        <f>$Q$53</f>
        <v>1</v>
      </c>
      <c r="AA61" s="31">
        <f>$Q$55</f>
        <v>1</v>
      </c>
      <c r="AB61" s="2" t="s">
        <v>18</v>
      </c>
      <c r="AC61" s="29">
        <f t="shared" si="28"/>
        <v>1</v>
      </c>
      <c r="AD61" s="29">
        <f t="shared" si="29"/>
        <v>1</v>
      </c>
      <c r="AE61" s="29">
        <f t="shared" si="30"/>
        <v>1</v>
      </c>
      <c r="AF61" s="29">
        <f t="shared" si="31"/>
        <v>1</v>
      </c>
      <c r="AG61" s="30">
        <f t="shared" si="32"/>
        <v>1</v>
      </c>
      <c r="AH61" s="30">
        <f t="shared" si="33"/>
        <v>1</v>
      </c>
      <c r="AI61" s="30">
        <f t="shared" si="34"/>
        <v>1</v>
      </c>
      <c r="AJ61" s="31">
        <f t="shared" si="35"/>
        <v>1</v>
      </c>
      <c r="AK61" s="13"/>
      <c r="AL61" s="31">
        <f t="shared" si="37"/>
        <v>1</v>
      </c>
      <c r="AM61" s="2" t="str">
        <f t="shared" si="38"/>
        <v>OK</v>
      </c>
      <c r="AP61" s="2" t="s">
        <v>25</v>
      </c>
      <c r="AQ61" s="35">
        <f t="shared" si="43"/>
        <v>7</v>
      </c>
      <c r="AR61" s="35">
        <f t="shared" si="43"/>
        <v>4</v>
      </c>
      <c r="AS61" s="35">
        <f t="shared" si="43"/>
        <v>4</v>
      </c>
      <c r="AT61" s="35">
        <f t="shared" si="43"/>
        <v>3</v>
      </c>
      <c r="AU61" s="35">
        <f t="shared" si="43"/>
        <v>4</v>
      </c>
      <c r="AV61" s="35">
        <f t="shared" si="43"/>
        <v>3</v>
      </c>
      <c r="AW61" s="35">
        <f t="shared" si="43"/>
        <v>3</v>
      </c>
      <c r="AX61" s="35">
        <f t="shared" si="43"/>
        <v>4</v>
      </c>
      <c r="AY61" s="35">
        <f t="shared" si="43"/>
        <v>3</v>
      </c>
      <c r="AZ61" s="35">
        <f t="shared" si="43"/>
        <v>4</v>
      </c>
      <c r="BA61" s="35">
        <f t="shared" si="43"/>
        <v>4</v>
      </c>
      <c r="BB61" s="35">
        <f t="shared" si="43"/>
        <v>3</v>
      </c>
      <c r="BC61" s="35">
        <f t="shared" si="43"/>
        <v>4</v>
      </c>
      <c r="BD61" s="35">
        <f t="shared" si="43"/>
        <v>3</v>
      </c>
      <c r="BE61" s="35">
        <f t="shared" si="43"/>
        <v>3</v>
      </c>
      <c r="BF61" s="31">
        <f t="shared" si="43"/>
        <v>0</v>
      </c>
      <c r="ET61" s="93">
        <v>45</v>
      </c>
      <c r="EU61" s="94" t="str">
        <f>DEC2HEX($ET61,2)</f>
        <v>2D</v>
      </c>
      <c r="EV61" s="95" t="str">
        <f>DEC2HEX(syndrome($ET61,HEX2DEC($Y$33),HEX2DEC($Z$33),HEX2DEC($AA$33)),1)</f>
        <v>3</v>
      </c>
      <c r="EW61" s="95">
        <f>errpos(HEX2DEC($EV61),HEX2DEC($O$18),HEX2DEC($P$18),HEX2DEC($Q$18),HEX2DEC($R$18),HEX2DEC($S$18),HEX2DEC($T$18),HEX2DEC($U$18),HEX2DEC($V$18))</f>
        <v>0</v>
      </c>
      <c r="EX61" s="95" t="str">
        <f>IF(isNotAbleCollect(HEX2DEC($EV61),$EW61),"×","-")</f>
        <v>×</v>
      </c>
      <c r="EY61" s="96" t="str">
        <f>DEC2HEX(collectValue($ET61,HEX2DEC($EV61),HEX2DEC($EW61)),2)</f>
        <v>FF</v>
      </c>
    </row>
    <row r="62" spans="1:156" x14ac:dyDescent="0.15">
      <c r="AQ62" s="2" t="s">
        <v>26</v>
      </c>
      <c r="AR62" s="2" t="s">
        <v>26</v>
      </c>
      <c r="AS62" s="2" t="s">
        <v>26</v>
      </c>
      <c r="AT62" s="2" t="s">
        <v>26</v>
      </c>
      <c r="AU62" s="2" t="s">
        <v>26</v>
      </c>
      <c r="AV62" s="2" t="s">
        <v>26</v>
      </c>
      <c r="AW62" s="2" t="s">
        <v>26</v>
      </c>
      <c r="AX62" s="2" t="s">
        <v>26</v>
      </c>
      <c r="AY62" s="2" t="s">
        <v>26</v>
      </c>
      <c r="AZ62" s="2" t="s">
        <v>26</v>
      </c>
      <c r="BA62" s="2" t="s">
        <v>26</v>
      </c>
      <c r="BB62" s="2" t="s">
        <v>26</v>
      </c>
      <c r="BC62" s="2" t="s">
        <v>26</v>
      </c>
      <c r="BD62" s="2" t="s">
        <v>26</v>
      </c>
      <c r="BE62" s="2" t="s">
        <v>26</v>
      </c>
      <c r="BF62" s="2" t="s">
        <v>26</v>
      </c>
      <c r="ET62" s="93">
        <v>46</v>
      </c>
      <c r="EU62" s="94" t="str">
        <f>DEC2HEX($ET62,2)</f>
        <v>2E</v>
      </c>
      <c r="EV62" s="95" t="str">
        <f>DEC2HEX(syndrome($ET62,HEX2DEC($Y$33),HEX2DEC($Z$33),HEX2DEC($AA$33)),1)</f>
        <v>6</v>
      </c>
      <c r="EW62" s="95">
        <f>errpos(HEX2DEC($EV62),HEX2DEC($O$18),HEX2DEC($P$18),HEX2DEC($Q$18),HEX2DEC($R$18),HEX2DEC($S$18),HEX2DEC($T$18),HEX2DEC($U$18),HEX2DEC($V$18))</f>
        <v>0</v>
      </c>
      <c r="EX62" s="95" t="str">
        <f>IF(isNotAbleCollect(HEX2DEC($EV62),$EW62),"×","-")</f>
        <v>×</v>
      </c>
      <c r="EY62" s="96" t="str">
        <f>DEC2HEX(collectValue($ET62,HEX2DEC($EV62),HEX2DEC($EW62)),2)</f>
        <v>FF</v>
      </c>
    </row>
    <row r="63" spans="1:156" ht="12.75" x14ac:dyDescent="0.15">
      <c r="AP63" s="2" t="s">
        <v>43</v>
      </c>
      <c r="AQ63" s="8">
        <f t="shared" ref="AQ63:BF66" si="44">B46</f>
        <v>0</v>
      </c>
      <c r="AR63" s="9">
        <f t="shared" si="44"/>
        <v>1</v>
      </c>
      <c r="AS63" s="9">
        <f t="shared" si="44"/>
        <v>0</v>
      </c>
      <c r="AT63" s="9">
        <f t="shared" si="44"/>
        <v>1</v>
      </c>
      <c r="AU63" s="9">
        <f t="shared" si="44"/>
        <v>0</v>
      </c>
      <c r="AV63" s="9">
        <f t="shared" si="44"/>
        <v>1</v>
      </c>
      <c r="AW63" s="9">
        <f t="shared" si="44"/>
        <v>0</v>
      </c>
      <c r="AX63" s="9">
        <f t="shared" si="44"/>
        <v>1</v>
      </c>
      <c r="AY63" s="9">
        <f t="shared" si="44"/>
        <v>0</v>
      </c>
      <c r="AZ63" s="9">
        <f t="shared" si="44"/>
        <v>1</v>
      </c>
      <c r="BA63" s="9">
        <f t="shared" si="44"/>
        <v>0</v>
      </c>
      <c r="BB63" s="9">
        <f t="shared" si="44"/>
        <v>1</v>
      </c>
      <c r="BC63" s="9">
        <f t="shared" si="44"/>
        <v>0</v>
      </c>
      <c r="BD63" s="9">
        <f t="shared" si="44"/>
        <v>1</v>
      </c>
      <c r="BE63" s="9">
        <f t="shared" si="44"/>
        <v>0</v>
      </c>
      <c r="BF63" s="10">
        <f t="shared" si="44"/>
        <v>1</v>
      </c>
      <c r="ET63" s="93">
        <v>47</v>
      </c>
      <c r="EU63" s="94" t="str">
        <f>DEC2HEX($ET63,2)</f>
        <v>2F</v>
      </c>
      <c r="EV63" s="95" t="str">
        <f>DEC2HEX(syndrome($ET63,HEX2DEC($Y$33),HEX2DEC($Z$33),HEX2DEC($AA$33)),1)</f>
        <v>D</v>
      </c>
      <c r="EW63" s="95">
        <f>errpos(HEX2DEC($EV63),HEX2DEC($O$18),HEX2DEC($P$18),HEX2DEC($Q$18),HEX2DEC($R$18),HEX2DEC($S$18),HEX2DEC($T$18),HEX2DEC($U$18),HEX2DEC($V$18))</f>
        <v>3</v>
      </c>
      <c r="EX63" s="95" t="str">
        <f>IF(isNotAbleCollect(HEX2DEC($EV63),$EW63),"×","-")</f>
        <v>-</v>
      </c>
      <c r="EY63" s="96" t="str">
        <f>DEC2HEX(collectValue($ET63,HEX2DEC($EV63),HEX2DEC($EW63)),2)</f>
        <v>0B</v>
      </c>
    </row>
    <row r="64" spans="1:156" ht="12.75" x14ac:dyDescent="0.15">
      <c r="AP64" s="2" t="s">
        <v>44</v>
      </c>
      <c r="AQ64" s="8">
        <f t="shared" si="44"/>
        <v>0</v>
      </c>
      <c r="AR64" s="9">
        <f t="shared" si="44"/>
        <v>0</v>
      </c>
      <c r="AS64" s="9">
        <f t="shared" si="44"/>
        <v>1</v>
      </c>
      <c r="AT64" s="9">
        <f t="shared" si="44"/>
        <v>1</v>
      </c>
      <c r="AU64" s="9">
        <f t="shared" si="44"/>
        <v>0</v>
      </c>
      <c r="AV64" s="9">
        <f t="shared" si="44"/>
        <v>0</v>
      </c>
      <c r="AW64" s="9">
        <f t="shared" si="44"/>
        <v>1</v>
      </c>
      <c r="AX64" s="9">
        <f t="shared" si="44"/>
        <v>1</v>
      </c>
      <c r="AY64" s="9">
        <f t="shared" si="44"/>
        <v>0</v>
      </c>
      <c r="AZ64" s="9">
        <f t="shared" si="44"/>
        <v>0</v>
      </c>
      <c r="BA64" s="9">
        <f t="shared" si="44"/>
        <v>1</v>
      </c>
      <c r="BB64" s="9">
        <f t="shared" si="44"/>
        <v>1</v>
      </c>
      <c r="BC64" s="9">
        <f t="shared" si="44"/>
        <v>0</v>
      </c>
      <c r="BD64" s="9">
        <f t="shared" si="44"/>
        <v>0</v>
      </c>
      <c r="BE64" s="9">
        <f t="shared" si="44"/>
        <v>1</v>
      </c>
      <c r="BF64" s="10">
        <f t="shared" si="44"/>
        <v>1</v>
      </c>
      <c r="ET64" s="93">
        <v>48</v>
      </c>
      <c r="EU64" s="94" t="str">
        <f>DEC2HEX($ET64,2)</f>
        <v>30</v>
      </c>
      <c r="EV64" s="95" t="str">
        <f>DEC2HEX(syndrome($ET64,HEX2DEC($Y$33),HEX2DEC($Z$33),HEX2DEC($AA$33)),1)</f>
        <v>3</v>
      </c>
      <c r="EW64" s="95">
        <f>errpos(HEX2DEC($EV64),HEX2DEC($O$18),HEX2DEC($P$18),HEX2DEC($Q$18),HEX2DEC($R$18),HEX2DEC($S$18),HEX2DEC($T$18),HEX2DEC($U$18),HEX2DEC($V$18))</f>
        <v>0</v>
      </c>
      <c r="EX64" s="95" t="str">
        <f>IF(isNotAbleCollect(HEX2DEC($EV64),$EW64),"×","-")</f>
        <v>×</v>
      </c>
      <c r="EY64" s="96" t="str">
        <f>DEC2HEX(collectValue($ET64,HEX2DEC($EV64),HEX2DEC($EW64)),2)</f>
        <v>FF</v>
      </c>
    </row>
    <row r="65" spans="42:156" ht="12.75" x14ac:dyDescent="0.15">
      <c r="AP65" s="2" t="s">
        <v>45</v>
      </c>
      <c r="AQ65" s="8">
        <f t="shared" si="44"/>
        <v>0</v>
      </c>
      <c r="AR65" s="9">
        <f t="shared" si="44"/>
        <v>0</v>
      </c>
      <c r="AS65" s="9">
        <f t="shared" si="44"/>
        <v>0</v>
      </c>
      <c r="AT65" s="9">
        <f t="shared" si="44"/>
        <v>0</v>
      </c>
      <c r="AU65" s="9">
        <f t="shared" si="44"/>
        <v>1</v>
      </c>
      <c r="AV65" s="9">
        <f t="shared" si="44"/>
        <v>1</v>
      </c>
      <c r="AW65" s="9">
        <f t="shared" si="44"/>
        <v>1</v>
      </c>
      <c r="AX65" s="9">
        <f t="shared" si="44"/>
        <v>1</v>
      </c>
      <c r="AY65" s="9">
        <f t="shared" si="44"/>
        <v>0</v>
      </c>
      <c r="AZ65" s="9">
        <f t="shared" si="44"/>
        <v>0</v>
      </c>
      <c r="BA65" s="9">
        <f t="shared" si="44"/>
        <v>0</v>
      </c>
      <c r="BB65" s="9">
        <f t="shared" si="44"/>
        <v>0</v>
      </c>
      <c r="BC65" s="9">
        <f t="shared" si="44"/>
        <v>1</v>
      </c>
      <c r="BD65" s="9">
        <f t="shared" si="44"/>
        <v>1</v>
      </c>
      <c r="BE65" s="9">
        <f t="shared" si="44"/>
        <v>1</v>
      </c>
      <c r="BF65" s="10">
        <f t="shared" si="44"/>
        <v>1</v>
      </c>
      <c r="ET65" s="93">
        <v>49</v>
      </c>
      <c r="EU65" s="94" t="str">
        <f>DEC2HEX($ET65,2)</f>
        <v>31</v>
      </c>
      <c r="EV65" s="95" t="str">
        <f>DEC2HEX(syndrome($ET65,HEX2DEC($Y$33),HEX2DEC($Z$33),HEX2DEC($AA$33)),1)</f>
        <v>8</v>
      </c>
      <c r="EW65" s="95">
        <f>errpos(HEX2DEC($EV65),HEX2DEC($O$18),HEX2DEC($P$18),HEX2DEC($Q$18),HEX2DEC($R$18),HEX2DEC($S$18),HEX2DEC($T$18),HEX2DEC($U$18),HEX2DEC($V$18))</f>
        <v>8</v>
      </c>
      <c r="EX65" s="95" t="str">
        <f>IF(isNotAbleCollect(HEX2DEC($EV65),$EW65),"×","-")</f>
        <v>-</v>
      </c>
      <c r="EY65" s="96" t="str">
        <f>DEC2HEX(collectValue($ET65,HEX2DEC($EV65),HEX2DEC($EW65)),2)</f>
        <v>01</v>
      </c>
    </row>
    <row r="66" spans="42:156" ht="12.75" x14ac:dyDescent="0.15">
      <c r="AP66" s="2" t="s">
        <v>46</v>
      </c>
      <c r="AQ66" s="8">
        <f t="shared" si="44"/>
        <v>0</v>
      </c>
      <c r="AR66" s="9">
        <f t="shared" si="44"/>
        <v>0</v>
      </c>
      <c r="AS66" s="9">
        <f t="shared" si="44"/>
        <v>0</v>
      </c>
      <c r="AT66" s="9">
        <f t="shared" si="44"/>
        <v>0</v>
      </c>
      <c r="AU66" s="9">
        <f t="shared" si="44"/>
        <v>0</v>
      </c>
      <c r="AV66" s="9">
        <f t="shared" si="44"/>
        <v>0</v>
      </c>
      <c r="AW66" s="9">
        <f t="shared" si="44"/>
        <v>0</v>
      </c>
      <c r="AX66" s="9">
        <f t="shared" si="44"/>
        <v>0</v>
      </c>
      <c r="AY66" s="9">
        <f t="shared" si="44"/>
        <v>1</v>
      </c>
      <c r="AZ66" s="9">
        <f t="shared" si="44"/>
        <v>1</v>
      </c>
      <c r="BA66" s="9">
        <f t="shared" si="44"/>
        <v>1</v>
      </c>
      <c r="BB66" s="9">
        <f t="shared" si="44"/>
        <v>1</v>
      </c>
      <c r="BC66" s="9">
        <f t="shared" si="44"/>
        <v>1</v>
      </c>
      <c r="BD66" s="9">
        <f t="shared" si="44"/>
        <v>1</v>
      </c>
      <c r="BE66" s="9">
        <f t="shared" si="44"/>
        <v>1</v>
      </c>
      <c r="BF66" s="10">
        <f t="shared" si="44"/>
        <v>1</v>
      </c>
      <c r="ET66" s="93">
        <v>50</v>
      </c>
      <c r="EU66" s="94" t="str">
        <f>DEC2HEX($ET66,2)</f>
        <v>32</v>
      </c>
      <c r="EV66" s="95" t="str">
        <f>DEC2HEX(syndrome($ET66,HEX2DEC($Y$33),HEX2DEC($Z$33),HEX2DEC($AA$33)),1)</f>
        <v>D</v>
      </c>
      <c r="EW66" s="95">
        <f>errpos(HEX2DEC($EV66),HEX2DEC($O$18),HEX2DEC($P$18),HEX2DEC($Q$18),HEX2DEC($R$18),HEX2DEC($S$18),HEX2DEC($T$18),HEX2DEC($U$18),HEX2DEC($V$18))</f>
        <v>3</v>
      </c>
      <c r="EX66" s="95" t="str">
        <f>IF(isNotAbleCollect(HEX2DEC($EV66),$EW66),"×","-")</f>
        <v>-</v>
      </c>
      <c r="EY66" s="96" t="str">
        <f>DEC2HEX(collectValue($ET66,HEX2DEC($EV66),HEX2DEC($EW66)),2)</f>
        <v>06</v>
      </c>
    </row>
    <row r="67" spans="42:156" ht="12.75" x14ac:dyDescent="0.15">
      <c r="AP67" s="2" t="s">
        <v>49</v>
      </c>
      <c r="AQ67" s="21">
        <f t="shared" ref="AQ67:BF69" si="45">B51</f>
        <v>0</v>
      </c>
      <c r="AR67" s="22">
        <f t="shared" si="45"/>
        <v>1</v>
      </c>
      <c r="AS67" s="22">
        <f t="shared" si="45"/>
        <v>0</v>
      </c>
      <c r="AT67" s="22">
        <f t="shared" si="45"/>
        <v>1</v>
      </c>
      <c r="AU67" s="22">
        <f t="shared" si="45"/>
        <v>1</v>
      </c>
      <c r="AV67" s="22">
        <f t="shared" si="45"/>
        <v>0</v>
      </c>
      <c r="AW67" s="22">
        <f t="shared" si="45"/>
        <v>1</v>
      </c>
      <c r="AX67" s="22">
        <f t="shared" si="45"/>
        <v>0</v>
      </c>
      <c r="AY67" s="22">
        <f t="shared" si="45"/>
        <v>1</v>
      </c>
      <c r="AZ67" s="22">
        <f t="shared" si="45"/>
        <v>0</v>
      </c>
      <c r="BA67" s="22">
        <f t="shared" si="45"/>
        <v>1</v>
      </c>
      <c r="BB67" s="22">
        <f t="shared" si="45"/>
        <v>0</v>
      </c>
      <c r="BC67" s="22">
        <f t="shared" si="45"/>
        <v>0</v>
      </c>
      <c r="BD67" s="22">
        <f t="shared" si="45"/>
        <v>1</v>
      </c>
      <c r="BE67" s="22">
        <f t="shared" si="45"/>
        <v>0</v>
      </c>
      <c r="BF67" s="23">
        <f t="shared" si="45"/>
        <v>1</v>
      </c>
      <c r="ET67" s="93">
        <v>51</v>
      </c>
      <c r="EU67" s="94" t="str">
        <f>DEC2HEX($ET67,2)</f>
        <v>33</v>
      </c>
      <c r="EV67" s="95" t="str">
        <f>DEC2HEX(syndrome($ET67,HEX2DEC($Y$33),HEX2DEC($Z$33),HEX2DEC($AA$33)),1)</f>
        <v>6</v>
      </c>
      <c r="EW67" s="95">
        <f>errpos(HEX2DEC($EV67),HEX2DEC($O$18),HEX2DEC($P$18),HEX2DEC($Q$18),HEX2DEC($R$18),HEX2DEC($S$18),HEX2DEC($T$18),HEX2DEC($U$18),HEX2DEC($V$18))</f>
        <v>0</v>
      </c>
      <c r="EX67" s="95" t="str">
        <f>IF(isNotAbleCollect(HEX2DEC($EV67),$EW67),"×","-")</f>
        <v>×</v>
      </c>
      <c r="EY67" s="96" t="str">
        <f>DEC2HEX(collectValue($ET67,HEX2DEC($EV67),HEX2DEC($EW67)),2)</f>
        <v>FF</v>
      </c>
    </row>
    <row r="68" spans="42:156" ht="12.75" x14ac:dyDescent="0.15">
      <c r="AP68" s="2" t="s">
        <v>50</v>
      </c>
      <c r="AQ68" s="21">
        <f t="shared" si="45"/>
        <v>0</v>
      </c>
      <c r="AR68" s="22">
        <f t="shared" si="45"/>
        <v>1</v>
      </c>
      <c r="AS68" s="22">
        <f t="shared" si="45"/>
        <v>1</v>
      </c>
      <c r="AT68" s="22">
        <f t="shared" si="45"/>
        <v>0</v>
      </c>
      <c r="AU68" s="22">
        <f t="shared" si="45"/>
        <v>0</v>
      </c>
      <c r="AV68" s="22">
        <f t="shared" si="45"/>
        <v>1</v>
      </c>
      <c r="AW68" s="22">
        <f t="shared" si="45"/>
        <v>1</v>
      </c>
      <c r="AX68" s="22">
        <f t="shared" si="45"/>
        <v>0</v>
      </c>
      <c r="AY68" s="22">
        <f t="shared" si="45"/>
        <v>1</v>
      </c>
      <c r="AZ68" s="22">
        <f t="shared" si="45"/>
        <v>0</v>
      </c>
      <c r="BA68" s="22">
        <f t="shared" si="45"/>
        <v>0</v>
      </c>
      <c r="BB68" s="22">
        <f t="shared" si="45"/>
        <v>1</v>
      </c>
      <c r="BC68" s="22">
        <f t="shared" si="45"/>
        <v>1</v>
      </c>
      <c r="BD68" s="22">
        <f t="shared" si="45"/>
        <v>0</v>
      </c>
      <c r="BE68" s="22">
        <f t="shared" si="45"/>
        <v>0</v>
      </c>
      <c r="BF68" s="23">
        <f t="shared" si="45"/>
        <v>1</v>
      </c>
      <c r="ET68" s="93">
        <v>52</v>
      </c>
      <c r="EU68" s="94" t="str">
        <f>DEC2HEX($ET68,2)</f>
        <v>34</v>
      </c>
      <c r="EV68" s="95" t="str">
        <f>DEC2HEX(syndrome($ET68,HEX2DEC($Y$33),HEX2DEC($Z$33),HEX2DEC($AA$33)),1)</f>
        <v>E</v>
      </c>
      <c r="EW68" s="95">
        <f>errpos(HEX2DEC($EV68),HEX2DEC($O$18),HEX2DEC($P$18),HEX2DEC($Q$18),HEX2DEC($R$18),HEX2DEC($S$18),HEX2DEC($T$18),HEX2DEC($U$18),HEX2DEC($V$18))</f>
        <v>2</v>
      </c>
      <c r="EX68" s="95" t="str">
        <f>IF(isNotAbleCollect(HEX2DEC($EV68),$EW68),"×","-")</f>
        <v>-</v>
      </c>
      <c r="EY68" s="96" t="str">
        <f>DEC2HEX(collectValue($ET68,HEX2DEC($EV68),HEX2DEC($EW68)),2)</f>
        <v>06</v>
      </c>
    </row>
    <row r="69" spans="42:156" ht="12.75" x14ac:dyDescent="0.15">
      <c r="AP69" s="2" t="s">
        <v>51</v>
      </c>
      <c r="AQ69" s="21">
        <f t="shared" si="45"/>
        <v>0</v>
      </c>
      <c r="AR69" s="22">
        <f t="shared" si="45"/>
        <v>0</v>
      </c>
      <c r="AS69" s="22">
        <f t="shared" si="45"/>
        <v>1</v>
      </c>
      <c r="AT69" s="22">
        <f t="shared" si="45"/>
        <v>1</v>
      </c>
      <c r="AU69" s="22">
        <f t="shared" si="45"/>
        <v>1</v>
      </c>
      <c r="AV69" s="22">
        <f t="shared" si="45"/>
        <v>1</v>
      </c>
      <c r="AW69" s="22">
        <f t="shared" si="45"/>
        <v>0</v>
      </c>
      <c r="AX69" s="22">
        <f t="shared" si="45"/>
        <v>0</v>
      </c>
      <c r="AY69" s="22">
        <f t="shared" si="45"/>
        <v>1</v>
      </c>
      <c r="AZ69" s="22">
        <f t="shared" si="45"/>
        <v>1</v>
      </c>
      <c r="BA69" s="22">
        <f t="shared" si="45"/>
        <v>0</v>
      </c>
      <c r="BB69" s="22">
        <f t="shared" si="45"/>
        <v>0</v>
      </c>
      <c r="BC69" s="22">
        <f t="shared" si="45"/>
        <v>0</v>
      </c>
      <c r="BD69" s="22">
        <f t="shared" si="45"/>
        <v>0</v>
      </c>
      <c r="BE69" s="22">
        <f t="shared" si="45"/>
        <v>1</v>
      </c>
      <c r="BF69" s="23">
        <f t="shared" si="45"/>
        <v>1</v>
      </c>
      <c r="ET69" s="93">
        <v>53</v>
      </c>
      <c r="EU69" s="94" t="str">
        <f>DEC2HEX($ET69,2)</f>
        <v>35</v>
      </c>
      <c r="EV69" s="95" t="str">
        <f>DEC2HEX(syndrome($ET69,HEX2DEC($Y$33),HEX2DEC($Z$33),HEX2DEC($AA$33)),1)</f>
        <v>5</v>
      </c>
      <c r="EW69" s="95">
        <f>errpos(HEX2DEC($EV69),HEX2DEC($O$18),HEX2DEC($P$18),HEX2DEC($Q$18),HEX2DEC($R$18),HEX2DEC($S$18),HEX2DEC($T$18),HEX2DEC($U$18),HEX2DEC($V$18))</f>
        <v>0</v>
      </c>
      <c r="EX69" s="95" t="str">
        <f>IF(isNotAbleCollect(HEX2DEC($EV69),$EW69),"×","-")</f>
        <v>×</v>
      </c>
      <c r="EY69" s="96" t="str">
        <f>DEC2HEX(collectValue($ET69,HEX2DEC($EV69),HEX2DEC($EW69)),2)</f>
        <v>FF</v>
      </c>
    </row>
    <row r="70" spans="42:156" x14ac:dyDescent="0.15">
      <c r="AQ70" s="2" t="s">
        <v>27</v>
      </c>
      <c r="ET70" s="93">
        <v>54</v>
      </c>
      <c r="EU70" s="94" t="str">
        <f>DEC2HEX($ET70,2)</f>
        <v>36</v>
      </c>
      <c r="EV70" s="95" t="str">
        <f>DEC2HEX(syndrome($ET70,HEX2DEC($Y$33),HEX2DEC($Z$33),HEX2DEC($AA$33)),1)</f>
        <v>0</v>
      </c>
      <c r="EW70" s="95">
        <f>errpos(HEX2DEC($EV70),HEX2DEC($O$18),HEX2DEC($P$18),HEX2DEC($Q$18),HEX2DEC($R$18),HEX2DEC($S$18),HEX2DEC($T$18),HEX2DEC($U$18),HEX2DEC($V$18))</f>
        <v>0</v>
      </c>
      <c r="EX70" s="95" t="str">
        <f>IF(isNotAbleCollect(HEX2DEC($EV70),$EW70),"×","-")</f>
        <v>-</v>
      </c>
      <c r="EY70" s="96" t="str">
        <f>DEC2HEX(collectValue($ET70,HEX2DEC($EV70),HEX2DEC($EW70)),2)</f>
        <v>06</v>
      </c>
      <c r="EZ70" s="90">
        <v>4</v>
      </c>
    </row>
    <row r="71" spans="42:156" x14ac:dyDescent="0.15">
      <c r="ET71" s="93">
        <v>55</v>
      </c>
      <c r="EU71" s="94" t="str">
        <f>DEC2HEX($ET71,2)</f>
        <v>37</v>
      </c>
      <c r="EV71" s="95" t="str">
        <f>DEC2HEX(syndrome($ET71,HEX2DEC($Y$33),HEX2DEC($Z$33),HEX2DEC($AA$33)),1)</f>
        <v>B</v>
      </c>
      <c r="EW71" s="95">
        <f>errpos(HEX2DEC($EV71),HEX2DEC($O$18),HEX2DEC($P$18),HEX2DEC($Q$18),HEX2DEC($R$18),HEX2DEC($S$18),HEX2DEC($T$18),HEX2DEC($U$18),HEX2DEC($V$18))</f>
        <v>1</v>
      </c>
      <c r="EX71" s="95" t="str">
        <f>IF(isNotAbleCollect(HEX2DEC($EV71),$EW71),"×","-")</f>
        <v>-</v>
      </c>
      <c r="EY71" s="96" t="str">
        <f>DEC2HEX(collectValue($ET71,HEX2DEC($EV71),HEX2DEC($EW71)),2)</f>
        <v>06</v>
      </c>
    </row>
    <row r="72" spans="42:156" x14ac:dyDescent="0.15">
      <c r="AQ72" s="2" t="s">
        <v>82</v>
      </c>
      <c r="ET72" s="93">
        <v>56</v>
      </c>
      <c r="EU72" s="94" t="str">
        <f>DEC2HEX($ET72,2)</f>
        <v>38</v>
      </c>
      <c r="EV72" s="95" t="str">
        <f>DEC2HEX(syndrome($ET72,HEX2DEC($Y$33),HEX2DEC($Z$33),HEX2DEC($AA$33)),1)</f>
        <v>C</v>
      </c>
      <c r="EW72" s="95">
        <f>errpos(HEX2DEC($EV72),HEX2DEC($O$18),HEX2DEC($P$18),HEX2DEC($Q$18),HEX2DEC($R$18),HEX2DEC($S$18),HEX2DEC($T$18),HEX2DEC($U$18),HEX2DEC($V$18))</f>
        <v>7</v>
      </c>
      <c r="EX72" s="95" t="str">
        <f>IF(isNotAbleCollect(HEX2DEC($EV72),$EW72),"×","-")</f>
        <v>-</v>
      </c>
      <c r="EY72" s="96" t="str">
        <f>DEC2HEX(collectValue($ET72,HEX2DEC($EV72),HEX2DEC($EW72)),2)</f>
        <v>08</v>
      </c>
    </row>
    <row r="73" spans="42:156" x14ac:dyDescent="0.15">
      <c r="AQ73" s="2" t="s">
        <v>83</v>
      </c>
      <c r="ET73" s="93">
        <v>57</v>
      </c>
      <c r="EU73" s="94" t="str">
        <f>DEC2HEX($ET73,2)</f>
        <v>39</v>
      </c>
      <c r="EV73" s="95" t="str">
        <f>DEC2HEX(syndrome($ET73,HEX2DEC($Y$33),HEX2DEC($Z$33),HEX2DEC($AA$33)),1)</f>
        <v>7</v>
      </c>
      <c r="EW73" s="95">
        <f>errpos(HEX2DEC($EV73),HEX2DEC($O$18),HEX2DEC($P$18),HEX2DEC($Q$18),HEX2DEC($R$18),HEX2DEC($S$18),HEX2DEC($T$18),HEX2DEC($U$18),HEX2DEC($V$18))</f>
        <v>0</v>
      </c>
      <c r="EX73" s="95" t="str">
        <f>IF(isNotAbleCollect(HEX2DEC($EV73),$EW73),"×","-")</f>
        <v>×</v>
      </c>
      <c r="EY73" s="96" t="str">
        <f>DEC2HEX(collectValue($ET73,HEX2DEC($EV73),HEX2DEC($EW73)),2)</f>
        <v>FF</v>
      </c>
    </row>
    <row r="74" spans="42:156" x14ac:dyDescent="0.15">
      <c r="AQ74" s="2" t="s">
        <v>84</v>
      </c>
      <c r="ET74" s="93">
        <v>58</v>
      </c>
      <c r="EU74" s="94" t="str">
        <f>DEC2HEX($ET74,2)</f>
        <v>3A</v>
      </c>
      <c r="EV74" s="95" t="str">
        <f>DEC2HEX(syndrome($ET74,HEX2DEC($Y$33),HEX2DEC($Z$33),HEX2DEC($AA$33)),1)</f>
        <v>2</v>
      </c>
      <c r="EW74" s="95">
        <f>errpos(HEX2DEC($EV74),HEX2DEC($O$18),HEX2DEC($P$18),HEX2DEC($Q$18),HEX2DEC($R$18),HEX2DEC($S$18),HEX2DEC($T$18),HEX2DEC($U$18),HEX2DEC($V$18))</f>
        <v>0</v>
      </c>
      <c r="EX74" s="95" t="str">
        <f>IF(isNotAbleCollect(HEX2DEC($EV74),$EW74),"×","-")</f>
        <v>×</v>
      </c>
      <c r="EY74" s="96" t="str">
        <f>DEC2HEX(collectValue($ET74,HEX2DEC($EV74),HEX2DEC($EW74)),2)</f>
        <v>FF</v>
      </c>
    </row>
    <row r="75" spans="42:156" x14ac:dyDescent="0.15">
      <c r="AQ75" s="2" t="s">
        <v>93</v>
      </c>
      <c r="ET75" s="93">
        <v>59</v>
      </c>
      <c r="EU75" s="94" t="str">
        <f>DEC2HEX($ET75,2)</f>
        <v>3B</v>
      </c>
      <c r="EV75" s="95" t="str">
        <f>DEC2HEX(syndrome($ET75,HEX2DEC($Y$33),HEX2DEC($Z$33),HEX2DEC($AA$33)),1)</f>
        <v>9</v>
      </c>
      <c r="EW75" s="95">
        <f>errpos(HEX2DEC($EV75),HEX2DEC($O$18),HEX2DEC($P$18),HEX2DEC($Q$18),HEX2DEC($R$18),HEX2DEC($S$18),HEX2DEC($T$18),HEX2DEC($U$18),HEX2DEC($V$18))</f>
        <v>5</v>
      </c>
      <c r="EX75" s="95" t="str">
        <f>IF(isNotAbleCollect(HEX2DEC($EV75),$EW75),"×","-")</f>
        <v>-</v>
      </c>
      <c r="EY75" s="96" t="str">
        <f>DEC2HEX(collectValue($ET75,HEX2DEC($EV75),HEX2DEC($EW75)),2)</f>
        <v>0B</v>
      </c>
    </row>
    <row r="76" spans="42:156" x14ac:dyDescent="0.15">
      <c r="AQ76" s="2" t="s">
        <v>28</v>
      </c>
      <c r="ET76" s="93">
        <v>60</v>
      </c>
      <c r="EU76" s="94" t="str">
        <f>DEC2HEX($ET76,2)</f>
        <v>3C</v>
      </c>
      <c r="EV76" s="95" t="str">
        <f>DEC2HEX(syndrome($ET76,HEX2DEC($Y$33),HEX2DEC($Z$33),HEX2DEC($AA$33)),1)</f>
        <v>1</v>
      </c>
      <c r="EW76" s="95">
        <f>errpos(HEX2DEC($EV76),HEX2DEC($O$18),HEX2DEC($P$18),HEX2DEC($Q$18),HEX2DEC($R$18),HEX2DEC($S$18),HEX2DEC($T$18),HEX2DEC($U$18),HEX2DEC($V$18))</f>
        <v>0</v>
      </c>
      <c r="EX76" s="95" t="str">
        <f>IF(isNotAbleCollect(HEX2DEC($EV76),$EW76),"×","-")</f>
        <v>×</v>
      </c>
      <c r="EY76" s="96" t="str">
        <f>DEC2HEX(collectValue($ET76,HEX2DEC($EV76),HEX2DEC($EW76)),2)</f>
        <v>FF</v>
      </c>
    </row>
    <row r="77" spans="42:156" x14ac:dyDescent="0.15">
      <c r="ET77" s="93">
        <v>61</v>
      </c>
      <c r="EU77" s="94" t="str">
        <f>DEC2HEX($ET77,2)</f>
        <v>3D</v>
      </c>
      <c r="EV77" s="95" t="str">
        <f>DEC2HEX(syndrome($ET77,HEX2DEC($Y$33),HEX2DEC($Z$33),HEX2DEC($AA$33)),1)</f>
        <v>A</v>
      </c>
      <c r="EW77" s="95">
        <f>errpos(HEX2DEC($EV77),HEX2DEC($O$18),HEX2DEC($P$18),HEX2DEC($Q$18),HEX2DEC($R$18),HEX2DEC($S$18),HEX2DEC($T$18),HEX2DEC($U$18),HEX2DEC($V$18))</f>
        <v>6</v>
      </c>
      <c r="EX77" s="95" t="str">
        <f>IF(isNotAbleCollect(HEX2DEC($EV77),$EW77),"×","-")</f>
        <v>-</v>
      </c>
      <c r="EY77" s="96" t="str">
        <f>DEC2HEX(collectValue($ET77,HEX2DEC($EV77),HEX2DEC($EW77)),2)</f>
        <v>0D</v>
      </c>
    </row>
    <row r="78" spans="42:156" x14ac:dyDescent="0.15">
      <c r="ET78" s="93">
        <v>62</v>
      </c>
      <c r="EU78" s="94" t="str">
        <f>DEC2HEX($ET78,2)</f>
        <v>3E</v>
      </c>
      <c r="EV78" s="95" t="str">
        <f>DEC2HEX(syndrome($ET78,HEX2DEC($Y$33),HEX2DEC($Z$33),HEX2DEC($AA$33)),1)</f>
        <v>F</v>
      </c>
      <c r="EW78" s="95">
        <f>errpos(HEX2DEC($EV78),HEX2DEC($O$18),HEX2DEC($P$18),HEX2DEC($Q$18),HEX2DEC($R$18),HEX2DEC($S$18),HEX2DEC($T$18),HEX2DEC($U$18),HEX2DEC($V$18))</f>
        <v>4</v>
      </c>
      <c r="EX78" s="95" t="str">
        <f>IF(isNotAbleCollect(HEX2DEC($EV78),$EW78),"×","-")</f>
        <v>-</v>
      </c>
      <c r="EY78" s="96" t="str">
        <f>DEC2HEX(collectValue($ET78,HEX2DEC($EV78),HEX2DEC($EW78)),2)</f>
        <v>06</v>
      </c>
    </row>
    <row r="79" spans="42:156" x14ac:dyDescent="0.15">
      <c r="ET79" s="93">
        <v>63</v>
      </c>
      <c r="EU79" s="94" t="str">
        <f>DEC2HEX($ET79,2)</f>
        <v>3F</v>
      </c>
      <c r="EV79" s="95" t="str">
        <f>DEC2HEX(syndrome($ET79,HEX2DEC($Y$33),HEX2DEC($Z$33),HEX2DEC($AA$33)),1)</f>
        <v>4</v>
      </c>
      <c r="EW79" s="95">
        <f>errpos(HEX2DEC($EV79),HEX2DEC($O$18),HEX2DEC($P$18),HEX2DEC($Q$18),HEX2DEC($R$18),HEX2DEC($S$18),HEX2DEC($T$18),HEX2DEC($U$18),HEX2DEC($V$18))</f>
        <v>0</v>
      </c>
      <c r="EX79" s="95" t="str">
        <f>IF(isNotAbleCollect(HEX2DEC($EV79),$EW79),"×","-")</f>
        <v>×</v>
      </c>
      <c r="EY79" s="96" t="str">
        <f>DEC2HEX(collectValue($ET79,HEX2DEC($EV79),HEX2DEC($EW79)),2)</f>
        <v>FF</v>
      </c>
    </row>
    <row r="80" spans="42:156" x14ac:dyDescent="0.15">
      <c r="ET80" s="93">
        <v>64</v>
      </c>
      <c r="EU80" s="94" t="str">
        <f>DEC2HEX($ET80,2)</f>
        <v>40</v>
      </c>
      <c r="EV80" s="95" t="str">
        <f>DEC2HEX(syndrome($ET80,HEX2DEC($Y$33),HEX2DEC($Z$33),HEX2DEC($AA$33)),1)</f>
        <v>C</v>
      </c>
      <c r="EW80" s="95">
        <f>errpos(HEX2DEC($EV80),HEX2DEC($O$18),HEX2DEC($P$18),HEX2DEC($Q$18),HEX2DEC($R$18),HEX2DEC($S$18),HEX2DEC($T$18),HEX2DEC($U$18),HEX2DEC($V$18))</f>
        <v>7</v>
      </c>
      <c r="EX80" s="95" t="str">
        <f>IF(isNotAbleCollect(HEX2DEC($EV80),$EW80),"×","-")</f>
        <v>-</v>
      </c>
      <c r="EY80" s="96" t="str">
        <f>DEC2HEX(collectValue($ET80,HEX2DEC($EV80),HEX2DEC($EW80)),2)</f>
        <v>00</v>
      </c>
    </row>
    <row r="81" spans="150:156" x14ac:dyDescent="0.15">
      <c r="ET81" s="93">
        <v>65</v>
      </c>
      <c r="EU81" s="94" t="str">
        <f>DEC2HEX($ET81,2)</f>
        <v>41</v>
      </c>
      <c r="EV81" s="95" t="str">
        <f>DEC2HEX(syndrome($ET81,HEX2DEC($Y$33),HEX2DEC($Z$33),HEX2DEC($AA$33)),1)</f>
        <v>7</v>
      </c>
      <c r="EW81" s="95">
        <f>errpos(HEX2DEC($EV81),HEX2DEC($O$18),HEX2DEC($P$18),HEX2DEC($Q$18),HEX2DEC($R$18),HEX2DEC($S$18),HEX2DEC($T$18),HEX2DEC($U$18),HEX2DEC($V$18))</f>
        <v>0</v>
      </c>
      <c r="EX81" s="95" t="str">
        <f>IF(isNotAbleCollect(HEX2DEC($EV81),$EW81),"×","-")</f>
        <v>×</v>
      </c>
      <c r="EY81" s="96" t="str">
        <f>DEC2HEX(collectValue($ET81,HEX2DEC($EV81),HEX2DEC($EW81)),2)</f>
        <v>FF</v>
      </c>
    </row>
    <row r="82" spans="150:156" x14ac:dyDescent="0.15">
      <c r="ET82" s="93">
        <v>66</v>
      </c>
      <c r="EU82" s="94" t="str">
        <f>DEC2HEX($ET82,2)</f>
        <v>42</v>
      </c>
      <c r="EV82" s="95" t="str">
        <f>DEC2HEX(syndrome($ET82,HEX2DEC($Y$33),HEX2DEC($Z$33),HEX2DEC($AA$33)),1)</f>
        <v>2</v>
      </c>
      <c r="EW82" s="95">
        <f>errpos(HEX2DEC($EV82),HEX2DEC($O$18),HEX2DEC($P$18),HEX2DEC($Q$18),HEX2DEC($R$18),HEX2DEC($S$18),HEX2DEC($T$18),HEX2DEC($U$18),HEX2DEC($V$18))</f>
        <v>0</v>
      </c>
      <c r="EX82" s="95" t="str">
        <f>IF(isNotAbleCollect(HEX2DEC($EV82),$EW82),"×","-")</f>
        <v>×</v>
      </c>
      <c r="EY82" s="96" t="str">
        <f>DEC2HEX(collectValue($ET82,HEX2DEC($EV82),HEX2DEC($EW82)),2)</f>
        <v>FF</v>
      </c>
    </row>
    <row r="83" spans="150:156" x14ac:dyDescent="0.15">
      <c r="ET83" s="93">
        <v>67</v>
      </c>
      <c r="EU83" s="94" t="str">
        <f>DEC2HEX($ET83,2)</f>
        <v>43</v>
      </c>
      <c r="EV83" s="95" t="str">
        <f>DEC2HEX(syndrome($ET83,HEX2DEC($Y$33),HEX2DEC($Z$33),HEX2DEC($AA$33)),1)</f>
        <v>9</v>
      </c>
      <c r="EW83" s="95">
        <f>errpos(HEX2DEC($EV83),HEX2DEC($O$18),HEX2DEC($P$18),HEX2DEC($Q$18),HEX2DEC($R$18),HEX2DEC($S$18),HEX2DEC($T$18),HEX2DEC($U$18),HEX2DEC($V$18))</f>
        <v>5</v>
      </c>
      <c r="EX83" s="95" t="str">
        <f>IF(isNotAbleCollect(HEX2DEC($EV83),$EW83),"×","-")</f>
        <v>-</v>
      </c>
      <c r="EY83" s="96" t="str">
        <f>DEC2HEX(collectValue($ET83,HEX2DEC($EV83),HEX2DEC($EW83)),2)</f>
        <v>03</v>
      </c>
    </row>
    <row r="84" spans="150:156" x14ac:dyDescent="0.15">
      <c r="ET84" s="93">
        <v>68</v>
      </c>
      <c r="EU84" s="94" t="str">
        <f>DEC2HEX($ET84,2)</f>
        <v>44</v>
      </c>
      <c r="EV84" s="95" t="str">
        <f>DEC2HEX(syndrome($ET84,HEX2DEC($Y$33),HEX2DEC($Z$33),HEX2DEC($AA$33)),1)</f>
        <v>1</v>
      </c>
      <c r="EW84" s="95">
        <f>errpos(HEX2DEC($EV84),HEX2DEC($O$18),HEX2DEC($P$18),HEX2DEC($Q$18),HEX2DEC($R$18),HEX2DEC($S$18),HEX2DEC($T$18),HEX2DEC($U$18),HEX2DEC($V$18))</f>
        <v>0</v>
      </c>
      <c r="EX84" s="95" t="str">
        <f>IF(isNotAbleCollect(HEX2DEC($EV84),$EW84),"×","-")</f>
        <v>×</v>
      </c>
      <c r="EY84" s="96" t="str">
        <f>DEC2HEX(collectValue($ET84,HEX2DEC($EV84),HEX2DEC($EW84)),2)</f>
        <v>FF</v>
      </c>
    </row>
    <row r="85" spans="150:156" x14ac:dyDescent="0.15">
      <c r="ET85" s="93">
        <v>69</v>
      </c>
      <c r="EU85" s="94" t="str">
        <f>DEC2HEX($ET85,2)</f>
        <v>45</v>
      </c>
      <c r="EV85" s="95" t="str">
        <f>DEC2HEX(syndrome($ET85,HEX2DEC($Y$33),HEX2DEC($Z$33),HEX2DEC($AA$33)),1)</f>
        <v>A</v>
      </c>
      <c r="EW85" s="95">
        <f>errpos(HEX2DEC($EV85),HEX2DEC($O$18),HEX2DEC($P$18),HEX2DEC($Q$18),HEX2DEC($R$18),HEX2DEC($S$18),HEX2DEC($T$18),HEX2DEC($U$18),HEX2DEC($V$18))</f>
        <v>6</v>
      </c>
      <c r="EX85" s="95" t="str">
        <f>IF(isNotAbleCollect(HEX2DEC($EV85),$EW85),"×","-")</f>
        <v>-</v>
      </c>
      <c r="EY85" s="96" t="str">
        <f>DEC2HEX(collectValue($ET85,HEX2DEC($EV85),HEX2DEC($EW85)),2)</f>
        <v>05</v>
      </c>
    </row>
    <row r="86" spans="150:156" x14ac:dyDescent="0.15">
      <c r="ET86" s="93">
        <v>70</v>
      </c>
      <c r="EU86" s="94" t="str">
        <f>DEC2HEX($ET86,2)</f>
        <v>46</v>
      </c>
      <c r="EV86" s="95" t="str">
        <f>DEC2HEX(syndrome($ET86,HEX2DEC($Y$33),HEX2DEC($Z$33),HEX2DEC($AA$33)),1)</f>
        <v>F</v>
      </c>
      <c r="EW86" s="95">
        <f>errpos(HEX2DEC($EV86),HEX2DEC($O$18),HEX2DEC($P$18),HEX2DEC($Q$18),HEX2DEC($R$18),HEX2DEC($S$18),HEX2DEC($T$18),HEX2DEC($U$18),HEX2DEC($V$18))</f>
        <v>4</v>
      </c>
      <c r="EX86" s="95" t="str">
        <f>IF(isNotAbleCollect(HEX2DEC($EV86),$EW86),"×","-")</f>
        <v>-</v>
      </c>
      <c r="EY86" s="96" t="str">
        <f>DEC2HEX(collectValue($ET86,HEX2DEC($EV86),HEX2DEC($EW86)),2)</f>
        <v>0E</v>
      </c>
    </row>
    <row r="87" spans="150:156" x14ac:dyDescent="0.15">
      <c r="ET87" s="93">
        <v>71</v>
      </c>
      <c r="EU87" s="94" t="str">
        <f>DEC2HEX($ET87,2)</f>
        <v>47</v>
      </c>
      <c r="EV87" s="95" t="str">
        <f>DEC2HEX(syndrome($ET87,HEX2DEC($Y$33),HEX2DEC($Z$33),HEX2DEC($AA$33)),1)</f>
        <v>4</v>
      </c>
      <c r="EW87" s="95">
        <f>errpos(HEX2DEC($EV87),HEX2DEC($O$18),HEX2DEC($P$18),HEX2DEC($Q$18),HEX2DEC($R$18),HEX2DEC($S$18),HEX2DEC($T$18),HEX2DEC($U$18),HEX2DEC($V$18))</f>
        <v>0</v>
      </c>
      <c r="EX87" s="95" t="str">
        <f>IF(isNotAbleCollect(HEX2DEC($EV87),$EW87),"×","-")</f>
        <v>×</v>
      </c>
      <c r="EY87" s="96" t="str">
        <f>DEC2HEX(collectValue($ET87,HEX2DEC($EV87),HEX2DEC($EW87)),2)</f>
        <v>FF</v>
      </c>
    </row>
    <row r="88" spans="150:156" x14ac:dyDescent="0.15">
      <c r="ET88" s="93">
        <v>72</v>
      </c>
      <c r="EU88" s="94" t="str">
        <f>DEC2HEX($ET88,2)</f>
        <v>48</v>
      </c>
      <c r="EV88" s="95" t="str">
        <f>DEC2HEX(syndrome($ET88,HEX2DEC($Y$33),HEX2DEC($Z$33),HEX2DEC($AA$33)),1)</f>
        <v>3</v>
      </c>
      <c r="EW88" s="95">
        <f>errpos(HEX2DEC($EV88),HEX2DEC($O$18),HEX2DEC($P$18),HEX2DEC($Q$18),HEX2DEC($R$18),HEX2DEC($S$18),HEX2DEC($T$18),HEX2DEC($U$18),HEX2DEC($V$18))</f>
        <v>0</v>
      </c>
      <c r="EX88" s="95" t="str">
        <f>IF(isNotAbleCollect(HEX2DEC($EV88),$EW88),"×","-")</f>
        <v>×</v>
      </c>
      <c r="EY88" s="96" t="str">
        <f>DEC2HEX(collectValue($ET88,HEX2DEC($EV88),HEX2DEC($EW88)),2)</f>
        <v>FF</v>
      </c>
    </row>
    <row r="89" spans="150:156" x14ac:dyDescent="0.15">
      <c r="ET89" s="93">
        <v>73</v>
      </c>
      <c r="EU89" s="94" t="str">
        <f>DEC2HEX($ET89,2)</f>
        <v>49</v>
      </c>
      <c r="EV89" s="95" t="str">
        <f>DEC2HEX(syndrome($ET89,HEX2DEC($Y$33),HEX2DEC($Z$33),HEX2DEC($AA$33)),1)</f>
        <v>8</v>
      </c>
      <c r="EW89" s="95">
        <f>errpos(HEX2DEC($EV89),HEX2DEC($O$18),HEX2DEC($P$18),HEX2DEC($Q$18),HEX2DEC($R$18),HEX2DEC($S$18),HEX2DEC($T$18),HEX2DEC($U$18),HEX2DEC($V$18))</f>
        <v>8</v>
      </c>
      <c r="EX89" s="95" t="str">
        <f>IF(isNotAbleCollect(HEX2DEC($EV89),$EW89),"×","-")</f>
        <v>-</v>
      </c>
      <c r="EY89" s="96" t="str">
        <f>DEC2HEX(collectValue($ET89,HEX2DEC($EV89),HEX2DEC($EW89)),2)</f>
        <v>09</v>
      </c>
    </row>
    <row r="90" spans="150:156" x14ac:dyDescent="0.15">
      <c r="ET90" s="93">
        <v>74</v>
      </c>
      <c r="EU90" s="94" t="str">
        <f>DEC2HEX($ET90,2)</f>
        <v>4A</v>
      </c>
      <c r="EV90" s="95" t="str">
        <f>DEC2HEX(syndrome($ET90,HEX2DEC($Y$33),HEX2DEC($Z$33),HEX2DEC($AA$33)),1)</f>
        <v>D</v>
      </c>
      <c r="EW90" s="95">
        <f>errpos(HEX2DEC($EV90),HEX2DEC($O$18),HEX2DEC($P$18),HEX2DEC($Q$18),HEX2DEC($R$18),HEX2DEC($S$18),HEX2DEC($T$18),HEX2DEC($U$18),HEX2DEC($V$18))</f>
        <v>3</v>
      </c>
      <c r="EX90" s="95" t="str">
        <f>IF(isNotAbleCollect(HEX2DEC($EV90),$EW90),"×","-")</f>
        <v>-</v>
      </c>
      <c r="EY90" s="96" t="str">
        <f>DEC2HEX(collectValue($ET90,HEX2DEC($EV90),HEX2DEC($EW90)),2)</f>
        <v>0E</v>
      </c>
    </row>
    <row r="91" spans="150:156" x14ac:dyDescent="0.15">
      <c r="ET91" s="93">
        <v>75</v>
      </c>
      <c r="EU91" s="94" t="str">
        <f>DEC2HEX($ET91,2)</f>
        <v>4B</v>
      </c>
      <c r="EV91" s="95" t="str">
        <f>DEC2HEX(syndrome($ET91,HEX2DEC($Y$33),HEX2DEC($Z$33),HEX2DEC($AA$33)),1)</f>
        <v>6</v>
      </c>
      <c r="EW91" s="95">
        <f>errpos(HEX2DEC($EV91),HEX2DEC($O$18),HEX2DEC($P$18),HEX2DEC($Q$18),HEX2DEC($R$18),HEX2DEC($S$18),HEX2DEC($T$18),HEX2DEC($U$18),HEX2DEC($V$18))</f>
        <v>0</v>
      </c>
      <c r="EX91" s="95" t="str">
        <f>IF(isNotAbleCollect(HEX2DEC($EV91),$EW91),"×","-")</f>
        <v>×</v>
      </c>
      <c r="EY91" s="96" t="str">
        <f>DEC2HEX(collectValue($ET91,HEX2DEC($EV91),HEX2DEC($EW91)),2)</f>
        <v>FF</v>
      </c>
    </row>
    <row r="92" spans="150:156" x14ac:dyDescent="0.15">
      <c r="ET92" s="93">
        <v>76</v>
      </c>
      <c r="EU92" s="94" t="str">
        <f>DEC2HEX($ET92,2)</f>
        <v>4C</v>
      </c>
      <c r="EV92" s="95" t="str">
        <f>DEC2HEX(syndrome($ET92,HEX2DEC($Y$33),HEX2DEC($Z$33),HEX2DEC($AA$33)),1)</f>
        <v>E</v>
      </c>
      <c r="EW92" s="95">
        <f>errpos(HEX2DEC($EV92),HEX2DEC($O$18),HEX2DEC($P$18),HEX2DEC($Q$18),HEX2DEC($R$18),HEX2DEC($S$18),HEX2DEC($T$18),HEX2DEC($U$18),HEX2DEC($V$18))</f>
        <v>2</v>
      </c>
      <c r="EX92" s="95" t="str">
        <f>IF(isNotAbleCollect(HEX2DEC($EV92),$EW92),"×","-")</f>
        <v>-</v>
      </c>
      <c r="EY92" s="96" t="str">
        <f>DEC2HEX(collectValue($ET92,HEX2DEC($EV92),HEX2DEC($EW92)),2)</f>
        <v>0E</v>
      </c>
    </row>
    <row r="93" spans="150:156" x14ac:dyDescent="0.15">
      <c r="ET93" s="93">
        <v>77</v>
      </c>
      <c r="EU93" s="94" t="str">
        <f>DEC2HEX($ET93,2)</f>
        <v>4D</v>
      </c>
      <c r="EV93" s="95" t="str">
        <f>DEC2HEX(syndrome($ET93,HEX2DEC($Y$33),HEX2DEC($Z$33),HEX2DEC($AA$33)),1)</f>
        <v>5</v>
      </c>
      <c r="EW93" s="95">
        <f>errpos(HEX2DEC($EV93),HEX2DEC($O$18),HEX2DEC($P$18),HEX2DEC($Q$18),HEX2DEC($R$18),HEX2DEC($S$18),HEX2DEC($T$18),HEX2DEC($U$18),HEX2DEC($V$18))</f>
        <v>0</v>
      </c>
      <c r="EX93" s="95" t="str">
        <f>IF(isNotAbleCollect(HEX2DEC($EV93),$EW93),"×","-")</f>
        <v>×</v>
      </c>
      <c r="EY93" s="96" t="str">
        <f>DEC2HEX(collectValue($ET93,HEX2DEC($EV93),HEX2DEC($EW93)),2)</f>
        <v>FF</v>
      </c>
    </row>
    <row r="94" spans="150:156" x14ac:dyDescent="0.15">
      <c r="ET94" s="93">
        <v>78</v>
      </c>
      <c r="EU94" s="94" t="str">
        <f>DEC2HEX($ET94,2)</f>
        <v>4E</v>
      </c>
      <c r="EV94" s="95" t="str">
        <f>DEC2HEX(syndrome($ET94,HEX2DEC($Y$33),HEX2DEC($Z$33),HEX2DEC($AA$33)),1)</f>
        <v>0</v>
      </c>
      <c r="EW94" s="95">
        <f>errpos(HEX2DEC($EV94),HEX2DEC($O$18),HEX2DEC($P$18),HEX2DEC($Q$18),HEX2DEC($R$18),HEX2DEC($S$18),HEX2DEC($T$18),HEX2DEC($U$18),HEX2DEC($V$18))</f>
        <v>0</v>
      </c>
      <c r="EX94" s="95" t="str">
        <f>IF(isNotAbleCollect(HEX2DEC($EV94),$EW94),"×","-")</f>
        <v>-</v>
      </c>
      <c r="EY94" s="96" t="str">
        <f>DEC2HEX(collectValue($ET94,HEX2DEC($EV94),HEX2DEC($EW94)),2)</f>
        <v>0E</v>
      </c>
      <c r="EZ94" s="90">
        <v>5</v>
      </c>
    </row>
    <row r="95" spans="150:156" x14ac:dyDescent="0.15">
      <c r="ET95" s="93">
        <v>79</v>
      </c>
      <c r="EU95" s="94" t="str">
        <f>DEC2HEX($ET95,2)</f>
        <v>4F</v>
      </c>
      <c r="EV95" s="95" t="str">
        <f>DEC2HEX(syndrome($ET95,HEX2DEC($Y$33),HEX2DEC($Z$33),HEX2DEC($AA$33)),1)</f>
        <v>B</v>
      </c>
      <c r="EW95" s="95">
        <f>errpos(HEX2DEC($EV95),HEX2DEC($O$18),HEX2DEC($P$18),HEX2DEC($Q$18),HEX2DEC($R$18),HEX2DEC($S$18),HEX2DEC($T$18),HEX2DEC($U$18),HEX2DEC($V$18))</f>
        <v>1</v>
      </c>
      <c r="EX95" s="95" t="str">
        <f>IF(isNotAbleCollect(HEX2DEC($EV95),$EW95),"×","-")</f>
        <v>-</v>
      </c>
      <c r="EY95" s="96" t="str">
        <f>DEC2HEX(collectValue($ET95,HEX2DEC($EV95),HEX2DEC($EW95)),2)</f>
        <v>0E</v>
      </c>
    </row>
    <row r="96" spans="150:156" x14ac:dyDescent="0.15">
      <c r="ET96" s="93">
        <v>80</v>
      </c>
      <c r="EU96" s="94" t="str">
        <f>DEC2HEX($ET96,2)</f>
        <v>50</v>
      </c>
      <c r="EV96" s="95" t="str">
        <f>DEC2HEX(syndrome($ET96,HEX2DEC($Y$33),HEX2DEC($Z$33),HEX2DEC($AA$33)),1)</f>
        <v>5</v>
      </c>
      <c r="EW96" s="95">
        <f>errpos(HEX2DEC($EV96),HEX2DEC($O$18),HEX2DEC($P$18),HEX2DEC($Q$18),HEX2DEC($R$18),HEX2DEC($S$18),HEX2DEC($T$18),HEX2DEC($U$18),HEX2DEC($V$18))</f>
        <v>0</v>
      </c>
      <c r="EX96" s="95" t="str">
        <f>IF(isNotAbleCollect(HEX2DEC($EV96),$EW96),"×","-")</f>
        <v>×</v>
      </c>
      <c r="EY96" s="96" t="str">
        <f>DEC2HEX(collectValue($ET96,HEX2DEC($EV96),HEX2DEC($EW96)),2)</f>
        <v>FF</v>
      </c>
    </row>
    <row r="97" spans="150:156" x14ac:dyDescent="0.15">
      <c r="ET97" s="93">
        <v>81</v>
      </c>
      <c r="EU97" s="94" t="str">
        <f>DEC2HEX($ET97,2)</f>
        <v>51</v>
      </c>
      <c r="EV97" s="95" t="str">
        <f>DEC2HEX(syndrome($ET97,HEX2DEC($Y$33),HEX2DEC($Z$33),HEX2DEC($AA$33)),1)</f>
        <v>E</v>
      </c>
      <c r="EW97" s="95">
        <f>errpos(HEX2DEC($EV97),HEX2DEC($O$18),HEX2DEC($P$18),HEX2DEC($Q$18),HEX2DEC($R$18),HEX2DEC($S$18),HEX2DEC($T$18),HEX2DEC($U$18),HEX2DEC($V$18))</f>
        <v>2</v>
      </c>
      <c r="EX97" s="95" t="str">
        <f>IF(isNotAbleCollect(HEX2DEC($EV97),$EW97),"×","-")</f>
        <v>-</v>
      </c>
      <c r="EY97" s="96" t="str">
        <f>DEC2HEX(collectValue($ET97,HEX2DEC($EV97),HEX2DEC($EW97)),2)</f>
        <v>03</v>
      </c>
    </row>
    <row r="98" spans="150:156" x14ac:dyDescent="0.15">
      <c r="ET98" s="93">
        <v>82</v>
      </c>
      <c r="EU98" s="94" t="str">
        <f>DEC2HEX($ET98,2)</f>
        <v>52</v>
      </c>
      <c r="EV98" s="95" t="str">
        <f>DEC2HEX(syndrome($ET98,HEX2DEC($Y$33),HEX2DEC($Z$33),HEX2DEC($AA$33)),1)</f>
        <v>B</v>
      </c>
      <c r="EW98" s="95">
        <f>errpos(HEX2DEC($EV98),HEX2DEC($O$18),HEX2DEC($P$18),HEX2DEC($Q$18),HEX2DEC($R$18),HEX2DEC($S$18),HEX2DEC($T$18),HEX2DEC($U$18),HEX2DEC($V$18))</f>
        <v>1</v>
      </c>
      <c r="EX98" s="95" t="str">
        <f>IF(isNotAbleCollect(HEX2DEC($EV98),$EW98),"×","-")</f>
        <v>-</v>
      </c>
      <c r="EY98" s="96" t="str">
        <f>DEC2HEX(collectValue($ET98,HEX2DEC($EV98),HEX2DEC($EW98)),2)</f>
        <v>03</v>
      </c>
    </row>
    <row r="99" spans="150:156" x14ac:dyDescent="0.15">
      <c r="ET99" s="93">
        <v>83</v>
      </c>
      <c r="EU99" s="94" t="str">
        <f>DEC2HEX($ET99,2)</f>
        <v>53</v>
      </c>
      <c r="EV99" s="95" t="str">
        <f>DEC2HEX(syndrome($ET99,HEX2DEC($Y$33),HEX2DEC($Z$33),HEX2DEC($AA$33)),1)</f>
        <v>0</v>
      </c>
      <c r="EW99" s="95">
        <f>errpos(HEX2DEC($EV99),HEX2DEC($O$18),HEX2DEC($P$18),HEX2DEC($Q$18),HEX2DEC($R$18),HEX2DEC($S$18),HEX2DEC($T$18),HEX2DEC($U$18),HEX2DEC($V$18))</f>
        <v>0</v>
      </c>
      <c r="EX99" s="95" t="str">
        <f>IF(isNotAbleCollect(HEX2DEC($EV99),$EW99),"×","-")</f>
        <v>-</v>
      </c>
      <c r="EY99" s="96" t="str">
        <f>DEC2HEX(collectValue($ET99,HEX2DEC($EV99),HEX2DEC($EW99)),2)</f>
        <v>03</v>
      </c>
      <c r="EZ99" s="90">
        <v>6</v>
      </c>
    </row>
    <row r="100" spans="150:156" x14ac:dyDescent="0.15">
      <c r="ET100" s="93">
        <v>84</v>
      </c>
      <c r="EU100" s="94" t="str">
        <f>DEC2HEX($ET100,2)</f>
        <v>54</v>
      </c>
      <c r="EV100" s="95" t="str">
        <f>DEC2HEX(syndrome($ET100,HEX2DEC($Y$33),HEX2DEC($Z$33),HEX2DEC($AA$33)),1)</f>
        <v>8</v>
      </c>
      <c r="EW100" s="95">
        <f>errpos(HEX2DEC($EV100),HEX2DEC($O$18),HEX2DEC($P$18),HEX2DEC($Q$18),HEX2DEC($R$18),HEX2DEC($S$18),HEX2DEC($T$18),HEX2DEC($U$18),HEX2DEC($V$18))</f>
        <v>8</v>
      </c>
      <c r="EX100" s="95" t="str">
        <f>IF(isNotAbleCollect(HEX2DEC($EV100),$EW100),"×","-")</f>
        <v>-</v>
      </c>
      <c r="EY100" s="96" t="str">
        <f>DEC2HEX(collectValue($ET100,HEX2DEC($EV100),HEX2DEC($EW100)),2)</f>
        <v>04</v>
      </c>
    </row>
    <row r="101" spans="150:156" x14ac:dyDescent="0.15">
      <c r="ET101" s="93">
        <v>85</v>
      </c>
      <c r="EU101" s="94" t="str">
        <f>DEC2HEX($ET101,2)</f>
        <v>55</v>
      </c>
      <c r="EV101" s="95" t="str">
        <f>DEC2HEX(syndrome($ET101,HEX2DEC($Y$33),HEX2DEC($Z$33),HEX2DEC($AA$33)),1)</f>
        <v>3</v>
      </c>
      <c r="EW101" s="95">
        <f>errpos(HEX2DEC($EV101),HEX2DEC($O$18),HEX2DEC($P$18),HEX2DEC($Q$18),HEX2DEC($R$18),HEX2DEC($S$18),HEX2DEC($T$18),HEX2DEC($U$18),HEX2DEC($V$18))</f>
        <v>0</v>
      </c>
      <c r="EX101" s="95" t="str">
        <f>IF(isNotAbleCollect(HEX2DEC($EV101),$EW101),"×","-")</f>
        <v>×</v>
      </c>
      <c r="EY101" s="96" t="str">
        <f>DEC2HEX(collectValue($ET101,HEX2DEC($EV101),HEX2DEC($EW101)),2)</f>
        <v>FF</v>
      </c>
    </row>
    <row r="102" spans="150:156" x14ac:dyDescent="0.15">
      <c r="ET102" s="93">
        <v>86</v>
      </c>
      <c r="EU102" s="94" t="str">
        <f>DEC2HEX($ET102,2)</f>
        <v>56</v>
      </c>
      <c r="EV102" s="95" t="str">
        <f>DEC2HEX(syndrome($ET102,HEX2DEC($Y$33),HEX2DEC($Z$33),HEX2DEC($AA$33)),1)</f>
        <v>6</v>
      </c>
      <c r="EW102" s="95">
        <f>errpos(HEX2DEC($EV102),HEX2DEC($O$18),HEX2DEC($P$18),HEX2DEC($Q$18),HEX2DEC($R$18),HEX2DEC($S$18),HEX2DEC($T$18),HEX2DEC($U$18),HEX2DEC($V$18))</f>
        <v>0</v>
      </c>
      <c r="EX102" s="95" t="str">
        <f>IF(isNotAbleCollect(HEX2DEC($EV102),$EW102),"×","-")</f>
        <v>×</v>
      </c>
      <c r="EY102" s="96" t="str">
        <f>DEC2HEX(collectValue($ET102,HEX2DEC($EV102),HEX2DEC($EW102)),2)</f>
        <v>FF</v>
      </c>
    </row>
    <row r="103" spans="150:156" x14ac:dyDescent="0.15">
      <c r="ET103" s="93">
        <v>87</v>
      </c>
      <c r="EU103" s="94" t="str">
        <f>DEC2HEX($ET103,2)</f>
        <v>57</v>
      </c>
      <c r="EV103" s="95" t="str">
        <f>DEC2HEX(syndrome($ET103,HEX2DEC($Y$33),HEX2DEC($Z$33),HEX2DEC($AA$33)),1)</f>
        <v>D</v>
      </c>
      <c r="EW103" s="95">
        <f>errpos(HEX2DEC($EV103),HEX2DEC($O$18),HEX2DEC($P$18),HEX2DEC($Q$18),HEX2DEC($R$18),HEX2DEC($S$18),HEX2DEC($T$18),HEX2DEC($U$18),HEX2DEC($V$18))</f>
        <v>3</v>
      </c>
      <c r="EX103" s="95" t="str">
        <f>IF(isNotAbleCollect(HEX2DEC($EV103),$EW103),"×","-")</f>
        <v>-</v>
      </c>
      <c r="EY103" s="96" t="str">
        <f>DEC2HEX(collectValue($ET103,HEX2DEC($EV103),HEX2DEC($EW103)),2)</f>
        <v>03</v>
      </c>
    </row>
    <row r="104" spans="150:156" x14ac:dyDescent="0.15">
      <c r="ET104" s="93">
        <v>88</v>
      </c>
      <c r="EU104" s="94" t="str">
        <f>DEC2HEX($ET104,2)</f>
        <v>58</v>
      </c>
      <c r="EV104" s="95" t="str">
        <f>DEC2HEX(syndrome($ET104,HEX2DEC($Y$33),HEX2DEC($Z$33),HEX2DEC($AA$33)),1)</f>
        <v>A</v>
      </c>
      <c r="EW104" s="95">
        <f>errpos(HEX2DEC($EV104),HEX2DEC($O$18),HEX2DEC($P$18),HEX2DEC($Q$18),HEX2DEC($R$18),HEX2DEC($S$18),HEX2DEC($T$18),HEX2DEC($U$18),HEX2DEC($V$18))</f>
        <v>6</v>
      </c>
      <c r="EX104" s="95" t="str">
        <f>IF(isNotAbleCollect(HEX2DEC($EV104),$EW104),"×","-")</f>
        <v>-</v>
      </c>
      <c r="EY104" s="96" t="str">
        <f>DEC2HEX(collectValue($ET104,HEX2DEC($EV104),HEX2DEC($EW104)),2)</f>
        <v>08</v>
      </c>
    </row>
    <row r="105" spans="150:156" x14ac:dyDescent="0.15">
      <c r="ET105" s="93">
        <v>89</v>
      </c>
      <c r="EU105" s="94" t="str">
        <f>DEC2HEX($ET105,2)</f>
        <v>59</v>
      </c>
      <c r="EV105" s="95" t="str">
        <f>DEC2HEX(syndrome($ET105,HEX2DEC($Y$33),HEX2DEC($Z$33),HEX2DEC($AA$33)),1)</f>
        <v>1</v>
      </c>
      <c r="EW105" s="95">
        <f>errpos(HEX2DEC($EV105),HEX2DEC($O$18),HEX2DEC($P$18),HEX2DEC($Q$18),HEX2DEC($R$18),HEX2DEC($S$18),HEX2DEC($T$18),HEX2DEC($U$18),HEX2DEC($V$18))</f>
        <v>0</v>
      </c>
      <c r="EX105" s="95" t="str">
        <f>IF(isNotAbleCollect(HEX2DEC($EV105),$EW105),"×","-")</f>
        <v>×</v>
      </c>
      <c r="EY105" s="96" t="str">
        <f>DEC2HEX(collectValue($ET105,HEX2DEC($EV105),HEX2DEC($EW105)),2)</f>
        <v>FF</v>
      </c>
    </row>
    <row r="106" spans="150:156" x14ac:dyDescent="0.15">
      <c r="ET106" s="93">
        <v>90</v>
      </c>
      <c r="EU106" s="94" t="str">
        <f>DEC2HEX($ET106,2)</f>
        <v>5A</v>
      </c>
      <c r="EV106" s="95" t="str">
        <f>DEC2HEX(syndrome($ET106,HEX2DEC($Y$33),HEX2DEC($Z$33),HEX2DEC($AA$33)),1)</f>
        <v>4</v>
      </c>
      <c r="EW106" s="95">
        <f>errpos(HEX2DEC($EV106),HEX2DEC($O$18),HEX2DEC($P$18),HEX2DEC($Q$18),HEX2DEC($R$18),HEX2DEC($S$18),HEX2DEC($T$18),HEX2DEC($U$18),HEX2DEC($V$18))</f>
        <v>0</v>
      </c>
      <c r="EX106" s="95" t="str">
        <f>IF(isNotAbleCollect(HEX2DEC($EV106),$EW106),"×","-")</f>
        <v>×</v>
      </c>
      <c r="EY106" s="96" t="str">
        <f>DEC2HEX(collectValue($ET106,HEX2DEC($EV106),HEX2DEC($EW106)),2)</f>
        <v>FF</v>
      </c>
    </row>
    <row r="107" spans="150:156" x14ac:dyDescent="0.15">
      <c r="ET107" s="93">
        <v>91</v>
      </c>
      <c r="EU107" s="94" t="str">
        <f>DEC2HEX($ET107,2)</f>
        <v>5B</v>
      </c>
      <c r="EV107" s="95" t="str">
        <f>DEC2HEX(syndrome($ET107,HEX2DEC($Y$33),HEX2DEC($Z$33),HEX2DEC($AA$33)),1)</f>
        <v>F</v>
      </c>
      <c r="EW107" s="95">
        <f>errpos(HEX2DEC($EV107),HEX2DEC($O$18),HEX2DEC($P$18),HEX2DEC($Q$18),HEX2DEC($R$18),HEX2DEC($S$18),HEX2DEC($T$18),HEX2DEC($U$18),HEX2DEC($V$18))</f>
        <v>4</v>
      </c>
      <c r="EX107" s="95" t="str">
        <f>IF(isNotAbleCollect(HEX2DEC($EV107),$EW107),"×","-")</f>
        <v>-</v>
      </c>
      <c r="EY107" s="96" t="str">
        <f>DEC2HEX(collectValue($ET107,HEX2DEC($EV107),HEX2DEC($EW107)),2)</f>
        <v>03</v>
      </c>
    </row>
    <row r="108" spans="150:156" x14ac:dyDescent="0.15">
      <c r="ET108" s="93">
        <v>92</v>
      </c>
      <c r="EU108" s="94" t="str">
        <f>DEC2HEX($ET108,2)</f>
        <v>5C</v>
      </c>
      <c r="EV108" s="95" t="str">
        <f>DEC2HEX(syndrome($ET108,HEX2DEC($Y$33),HEX2DEC($Z$33),HEX2DEC($AA$33)),1)</f>
        <v>7</v>
      </c>
      <c r="EW108" s="95">
        <f>errpos(HEX2DEC($EV108),HEX2DEC($O$18),HEX2DEC($P$18),HEX2DEC($Q$18),HEX2DEC($R$18),HEX2DEC($S$18),HEX2DEC($T$18),HEX2DEC($U$18),HEX2DEC($V$18))</f>
        <v>0</v>
      </c>
      <c r="EX108" s="95" t="str">
        <f>IF(isNotAbleCollect(HEX2DEC($EV108),$EW108),"×","-")</f>
        <v>×</v>
      </c>
      <c r="EY108" s="96" t="str">
        <f>DEC2HEX(collectValue($ET108,HEX2DEC($EV108),HEX2DEC($EW108)),2)</f>
        <v>FF</v>
      </c>
    </row>
    <row r="109" spans="150:156" x14ac:dyDescent="0.15">
      <c r="ET109" s="93">
        <v>93</v>
      </c>
      <c r="EU109" s="94" t="str">
        <f>DEC2HEX($ET109,2)</f>
        <v>5D</v>
      </c>
      <c r="EV109" s="95" t="str">
        <f>DEC2HEX(syndrome($ET109,HEX2DEC($Y$33),HEX2DEC($Z$33),HEX2DEC($AA$33)),1)</f>
        <v>C</v>
      </c>
      <c r="EW109" s="95">
        <f>errpos(HEX2DEC($EV109),HEX2DEC($O$18),HEX2DEC($P$18),HEX2DEC($Q$18),HEX2DEC($R$18),HEX2DEC($S$18),HEX2DEC($T$18),HEX2DEC($U$18),HEX2DEC($V$18))</f>
        <v>7</v>
      </c>
      <c r="EX109" s="95" t="str">
        <f>IF(isNotAbleCollect(HEX2DEC($EV109),$EW109),"×","-")</f>
        <v>-</v>
      </c>
      <c r="EY109" s="96" t="str">
        <f>DEC2HEX(collectValue($ET109,HEX2DEC($EV109),HEX2DEC($EW109)),2)</f>
        <v>0D</v>
      </c>
    </row>
    <row r="110" spans="150:156" x14ac:dyDescent="0.15">
      <c r="ET110" s="93">
        <v>94</v>
      </c>
      <c r="EU110" s="94" t="str">
        <f>DEC2HEX($ET110,2)</f>
        <v>5E</v>
      </c>
      <c r="EV110" s="95" t="str">
        <f>DEC2HEX(syndrome($ET110,HEX2DEC($Y$33),HEX2DEC($Z$33),HEX2DEC($AA$33)),1)</f>
        <v>9</v>
      </c>
      <c r="EW110" s="95">
        <f>errpos(HEX2DEC($EV110),HEX2DEC($O$18),HEX2DEC($P$18),HEX2DEC($Q$18),HEX2DEC($R$18),HEX2DEC($S$18),HEX2DEC($T$18),HEX2DEC($U$18),HEX2DEC($V$18))</f>
        <v>5</v>
      </c>
      <c r="EX110" s="95" t="str">
        <f>IF(isNotAbleCollect(HEX2DEC($EV110),$EW110),"×","-")</f>
        <v>-</v>
      </c>
      <c r="EY110" s="96" t="str">
        <f>DEC2HEX(collectValue($ET110,HEX2DEC($EV110),HEX2DEC($EW110)),2)</f>
        <v>0E</v>
      </c>
    </row>
    <row r="111" spans="150:156" x14ac:dyDescent="0.15">
      <c r="ET111" s="93">
        <v>95</v>
      </c>
      <c r="EU111" s="94" t="str">
        <f>DEC2HEX($ET111,2)</f>
        <v>5F</v>
      </c>
      <c r="EV111" s="95" t="str">
        <f>DEC2HEX(syndrome($ET111,HEX2DEC($Y$33),HEX2DEC($Z$33),HEX2DEC($AA$33)),1)</f>
        <v>2</v>
      </c>
      <c r="EW111" s="95">
        <f>errpos(HEX2DEC($EV111),HEX2DEC($O$18),HEX2DEC($P$18),HEX2DEC($Q$18),HEX2DEC($R$18),HEX2DEC($S$18),HEX2DEC($T$18),HEX2DEC($U$18),HEX2DEC($V$18))</f>
        <v>0</v>
      </c>
      <c r="EX111" s="95" t="str">
        <f>IF(isNotAbleCollect(HEX2DEC($EV111),$EW111),"×","-")</f>
        <v>×</v>
      </c>
      <c r="EY111" s="96" t="str">
        <f>DEC2HEX(collectValue($ET111,HEX2DEC($EV111),HEX2DEC($EW111)),2)</f>
        <v>FF</v>
      </c>
    </row>
    <row r="112" spans="150:156" x14ac:dyDescent="0.15">
      <c r="ET112" s="93">
        <v>96</v>
      </c>
      <c r="EU112" s="94" t="str">
        <f>DEC2HEX($ET112,2)</f>
        <v>60</v>
      </c>
      <c r="EV112" s="95" t="str">
        <f>DEC2HEX(syndrome($ET112,HEX2DEC($Y$33),HEX2DEC($Z$33),HEX2DEC($AA$33)),1)</f>
        <v>6</v>
      </c>
      <c r="EW112" s="95">
        <f>errpos(HEX2DEC($EV112),HEX2DEC($O$18),HEX2DEC($P$18),HEX2DEC($Q$18),HEX2DEC($R$18),HEX2DEC($S$18),HEX2DEC($T$18),HEX2DEC($U$18),HEX2DEC($V$18))</f>
        <v>0</v>
      </c>
      <c r="EX112" s="95" t="str">
        <f>IF(isNotAbleCollect(HEX2DEC($EV112),$EW112),"×","-")</f>
        <v>×</v>
      </c>
      <c r="EY112" s="96" t="str">
        <f>DEC2HEX(collectValue($ET112,HEX2DEC($EV112),HEX2DEC($EW112)),2)</f>
        <v>FF</v>
      </c>
    </row>
    <row r="113" spans="150:156" x14ac:dyDescent="0.15">
      <c r="ET113" s="93">
        <v>97</v>
      </c>
      <c r="EU113" s="94" t="str">
        <f>DEC2HEX($ET113,2)</f>
        <v>61</v>
      </c>
      <c r="EV113" s="95" t="str">
        <f>DEC2HEX(syndrome($ET113,HEX2DEC($Y$33),HEX2DEC($Z$33),HEX2DEC($AA$33)),1)</f>
        <v>D</v>
      </c>
      <c r="EW113" s="95">
        <f>errpos(HEX2DEC($EV113),HEX2DEC($O$18),HEX2DEC($P$18),HEX2DEC($Q$18),HEX2DEC($R$18),HEX2DEC($S$18),HEX2DEC($T$18),HEX2DEC($U$18),HEX2DEC($V$18))</f>
        <v>3</v>
      </c>
      <c r="EX113" s="95" t="str">
        <f>IF(isNotAbleCollect(HEX2DEC($EV113),$EW113),"×","-")</f>
        <v>-</v>
      </c>
      <c r="EY113" s="96" t="str">
        <f>DEC2HEX(collectValue($ET113,HEX2DEC($EV113),HEX2DEC($EW113)),2)</f>
        <v>05</v>
      </c>
    </row>
    <row r="114" spans="150:156" x14ac:dyDescent="0.15">
      <c r="ET114" s="93">
        <v>98</v>
      </c>
      <c r="EU114" s="94" t="str">
        <f>DEC2HEX($ET114,2)</f>
        <v>62</v>
      </c>
      <c r="EV114" s="95" t="str">
        <f>DEC2HEX(syndrome($ET114,HEX2DEC($Y$33),HEX2DEC($Z$33),HEX2DEC($AA$33)),1)</f>
        <v>8</v>
      </c>
      <c r="EW114" s="95">
        <f>errpos(HEX2DEC($EV114),HEX2DEC($O$18),HEX2DEC($P$18),HEX2DEC($Q$18),HEX2DEC($R$18),HEX2DEC($S$18),HEX2DEC($T$18),HEX2DEC($U$18),HEX2DEC($V$18))</f>
        <v>8</v>
      </c>
      <c r="EX114" s="95" t="str">
        <f>IF(isNotAbleCollect(HEX2DEC($EV114),$EW114),"×","-")</f>
        <v>-</v>
      </c>
      <c r="EY114" s="96" t="str">
        <f>DEC2HEX(collectValue($ET114,HEX2DEC($EV114),HEX2DEC($EW114)),2)</f>
        <v>02</v>
      </c>
    </row>
    <row r="115" spans="150:156" x14ac:dyDescent="0.15">
      <c r="ET115" s="93">
        <v>99</v>
      </c>
      <c r="EU115" s="94" t="str">
        <f>DEC2HEX($ET115,2)</f>
        <v>63</v>
      </c>
      <c r="EV115" s="95" t="str">
        <f>DEC2HEX(syndrome($ET115,HEX2DEC($Y$33),HEX2DEC($Z$33),HEX2DEC($AA$33)),1)</f>
        <v>3</v>
      </c>
      <c r="EW115" s="95">
        <f>errpos(HEX2DEC($EV115),HEX2DEC($O$18),HEX2DEC($P$18),HEX2DEC($Q$18),HEX2DEC($R$18),HEX2DEC($S$18),HEX2DEC($T$18),HEX2DEC($U$18),HEX2DEC($V$18))</f>
        <v>0</v>
      </c>
      <c r="EX115" s="95" t="str">
        <f>IF(isNotAbleCollect(HEX2DEC($EV115),$EW115),"×","-")</f>
        <v>×</v>
      </c>
      <c r="EY115" s="96" t="str">
        <f>DEC2HEX(collectValue($ET115,HEX2DEC($EV115),HEX2DEC($EW115)),2)</f>
        <v>FF</v>
      </c>
    </row>
    <row r="116" spans="150:156" x14ac:dyDescent="0.15">
      <c r="ET116" s="93">
        <v>100</v>
      </c>
      <c r="EU116" s="94" t="str">
        <f>DEC2HEX($ET116,2)</f>
        <v>64</v>
      </c>
      <c r="EV116" s="95" t="str">
        <f>DEC2HEX(syndrome($ET116,HEX2DEC($Y$33),HEX2DEC($Z$33),HEX2DEC($AA$33)),1)</f>
        <v>B</v>
      </c>
      <c r="EW116" s="95">
        <f>errpos(HEX2DEC($EV116),HEX2DEC($O$18),HEX2DEC($P$18),HEX2DEC($Q$18),HEX2DEC($R$18),HEX2DEC($S$18),HEX2DEC($T$18),HEX2DEC($U$18),HEX2DEC($V$18))</f>
        <v>1</v>
      </c>
      <c r="EX116" s="95" t="str">
        <f>IF(isNotAbleCollect(HEX2DEC($EV116),$EW116),"×","-")</f>
        <v>-</v>
      </c>
      <c r="EY116" s="96" t="str">
        <f>DEC2HEX(collectValue($ET116,HEX2DEC($EV116),HEX2DEC($EW116)),2)</f>
        <v>05</v>
      </c>
    </row>
    <row r="117" spans="150:156" x14ac:dyDescent="0.15">
      <c r="ET117" s="93">
        <v>101</v>
      </c>
      <c r="EU117" s="94" t="str">
        <f>DEC2HEX($ET117,2)</f>
        <v>65</v>
      </c>
      <c r="EV117" s="95" t="str">
        <f>DEC2HEX(syndrome($ET117,HEX2DEC($Y$33),HEX2DEC($Z$33),HEX2DEC($AA$33)),1)</f>
        <v>0</v>
      </c>
      <c r="EW117" s="95">
        <f>errpos(HEX2DEC($EV117),HEX2DEC($O$18),HEX2DEC($P$18),HEX2DEC($Q$18),HEX2DEC($R$18),HEX2DEC($S$18),HEX2DEC($T$18),HEX2DEC($U$18),HEX2DEC($V$18))</f>
        <v>0</v>
      </c>
      <c r="EX117" s="95" t="str">
        <f>IF(isNotAbleCollect(HEX2DEC($EV117),$EW117),"×","-")</f>
        <v>-</v>
      </c>
      <c r="EY117" s="96" t="str">
        <f>DEC2HEX(collectValue($ET117,HEX2DEC($EV117),HEX2DEC($EW117)),2)</f>
        <v>05</v>
      </c>
      <c r="EZ117" s="90">
        <v>7</v>
      </c>
    </row>
    <row r="118" spans="150:156" x14ac:dyDescent="0.15">
      <c r="ET118" s="93">
        <v>102</v>
      </c>
      <c r="EU118" s="94" t="str">
        <f>DEC2HEX($ET118,2)</f>
        <v>66</v>
      </c>
      <c r="EV118" s="95" t="str">
        <f>DEC2HEX(syndrome($ET118,HEX2DEC($Y$33),HEX2DEC($Z$33),HEX2DEC($AA$33)),1)</f>
        <v>5</v>
      </c>
      <c r="EW118" s="95">
        <f>errpos(HEX2DEC($EV118),HEX2DEC($O$18),HEX2DEC($P$18),HEX2DEC($Q$18),HEX2DEC($R$18),HEX2DEC($S$18),HEX2DEC($T$18),HEX2DEC($U$18),HEX2DEC($V$18))</f>
        <v>0</v>
      </c>
      <c r="EX118" s="95" t="str">
        <f>IF(isNotAbleCollect(HEX2DEC($EV118),$EW118),"×","-")</f>
        <v>×</v>
      </c>
      <c r="EY118" s="96" t="str">
        <f>DEC2HEX(collectValue($ET118,HEX2DEC($EV118),HEX2DEC($EW118)),2)</f>
        <v>FF</v>
      </c>
    </row>
    <row r="119" spans="150:156" x14ac:dyDescent="0.15">
      <c r="ET119" s="93">
        <v>103</v>
      </c>
      <c r="EU119" s="94" t="str">
        <f>DEC2HEX($ET119,2)</f>
        <v>67</v>
      </c>
      <c r="EV119" s="95" t="str">
        <f>DEC2HEX(syndrome($ET119,HEX2DEC($Y$33),HEX2DEC($Z$33),HEX2DEC($AA$33)),1)</f>
        <v>E</v>
      </c>
      <c r="EW119" s="95">
        <f>errpos(HEX2DEC($EV119),HEX2DEC($O$18),HEX2DEC($P$18),HEX2DEC($Q$18),HEX2DEC($R$18),HEX2DEC($S$18),HEX2DEC($T$18),HEX2DEC($U$18),HEX2DEC($V$18))</f>
        <v>2</v>
      </c>
      <c r="EX119" s="95" t="str">
        <f>IF(isNotAbleCollect(HEX2DEC($EV119),$EW119),"×","-")</f>
        <v>-</v>
      </c>
      <c r="EY119" s="96" t="str">
        <f>DEC2HEX(collectValue($ET119,HEX2DEC($EV119),HEX2DEC($EW119)),2)</f>
        <v>05</v>
      </c>
    </row>
    <row r="120" spans="150:156" x14ac:dyDescent="0.15">
      <c r="ET120" s="93">
        <v>104</v>
      </c>
      <c r="EU120" s="94" t="str">
        <f>DEC2HEX($ET120,2)</f>
        <v>68</v>
      </c>
      <c r="EV120" s="95" t="str">
        <f>DEC2HEX(syndrome($ET120,HEX2DEC($Y$33),HEX2DEC($Z$33),HEX2DEC($AA$33)),1)</f>
        <v>9</v>
      </c>
      <c r="EW120" s="95">
        <f>errpos(HEX2DEC($EV120),HEX2DEC($O$18),HEX2DEC($P$18),HEX2DEC($Q$18),HEX2DEC($R$18),HEX2DEC($S$18),HEX2DEC($T$18),HEX2DEC($U$18),HEX2DEC($V$18))</f>
        <v>5</v>
      </c>
      <c r="EX120" s="95" t="str">
        <f>IF(isNotAbleCollect(HEX2DEC($EV120),$EW120),"×","-")</f>
        <v>-</v>
      </c>
      <c r="EY120" s="96" t="str">
        <f>DEC2HEX(collectValue($ET120,HEX2DEC($EV120),HEX2DEC($EW120)),2)</f>
        <v>08</v>
      </c>
    </row>
    <row r="121" spans="150:156" x14ac:dyDescent="0.15">
      <c r="ET121" s="93">
        <v>105</v>
      </c>
      <c r="EU121" s="94" t="str">
        <f>DEC2HEX($ET121,2)</f>
        <v>69</v>
      </c>
      <c r="EV121" s="95" t="str">
        <f>DEC2HEX(syndrome($ET121,HEX2DEC($Y$33),HEX2DEC($Z$33),HEX2DEC($AA$33)),1)</f>
        <v>2</v>
      </c>
      <c r="EW121" s="95">
        <f>errpos(HEX2DEC($EV121),HEX2DEC($O$18),HEX2DEC($P$18),HEX2DEC($Q$18),HEX2DEC($R$18),HEX2DEC($S$18),HEX2DEC($T$18),HEX2DEC($U$18),HEX2DEC($V$18))</f>
        <v>0</v>
      </c>
      <c r="EX121" s="95" t="str">
        <f>IF(isNotAbleCollect(HEX2DEC($EV121),$EW121),"×","-")</f>
        <v>×</v>
      </c>
      <c r="EY121" s="96" t="str">
        <f>DEC2HEX(collectValue($ET121,HEX2DEC($EV121),HEX2DEC($EW121)),2)</f>
        <v>FF</v>
      </c>
    </row>
    <row r="122" spans="150:156" x14ac:dyDescent="0.15">
      <c r="ET122" s="93">
        <v>106</v>
      </c>
      <c r="EU122" s="94" t="str">
        <f>DEC2HEX($ET122,2)</f>
        <v>6A</v>
      </c>
      <c r="EV122" s="95" t="str">
        <f>DEC2HEX(syndrome($ET122,HEX2DEC($Y$33),HEX2DEC($Z$33),HEX2DEC($AA$33)),1)</f>
        <v>7</v>
      </c>
      <c r="EW122" s="95">
        <f>errpos(HEX2DEC($EV122),HEX2DEC($O$18),HEX2DEC($P$18),HEX2DEC($Q$18),HEX2DEC($R$18),HEX2DEC($S$18),HEX2DEC($T$18),HEX2DEC($U$18),HEX2DEC($V$18))</f>
        <v>0</v>
      </c>
      <c r="EX122" s="95" t="str">
        <f>IF(isNotAbleCollect(HEX2DEC($EV122),$EW122),"×","-")</f>
        <v>×</v>
      </c>
      <c r="EY122" s="96" t="str">
        <f>DEC2HEX(collectValue($ET122,HEX2DEC($EV122),HEX2DEC($EW122)),2)</f>
        <v>FF</v>
      </c>
    </row>
    <row r="123" spans="150:156" x14ac:dyDescent="0.15">
      <c r="ET123" s="93">
        <v>107</v>
      </c>
      <c r="EU123" s="94" t="str">
        <f>DEC2HEX($ET123,2)</f>
        <v>6B</v>
      </c>
      <c r="EV123" s="95" t="str">
        <f>DEC2HEX(syndrome($ET123,HEX2DEC($Y$33),HEX2DEC($Z$33),HEX2DEC($AA$33)),1)</f>
        <v>C</v>
      </c>
      <c r="EW123" s="95">
        <f>errpos(HEX2DEC($EV123),HEX2DEC($O$18),HEX2DEC($P$18),HEX2DEC($Q$18),HEX2DEC($R$18),HEX2DEC($S$18),HEX2DEC($T$18),HEX2DEC($U$18),HEX2DEC($V$18))</f>
        <v>7</v>
      </c>
      <c r="EX123" s="95" t="str">
        <f>IF(isNotAbleCollect(HEX2DEC($EV123),$EW123),"×","-")</f>
        <v>-</v>
      </c>
      <c r="EY123" s="96" t="str">
        <f>DEC2HEX(collectValue($ET123,HEX2DEC($EV123),HEX2DEC($EW123)),2)</f>
        <v>0B</v>
      </c>
    </row>
    <row r="124" spans="150:156" x14ac:dyDescent="0.15">
      <c r="ET124" s="93">
        <v>108</v>
      </c>
      <c r="EU124" s="94" t="str">
        <f>DEC2HEX($ET124,2)</f>
        <v>6C</v>
      </c>
      <c r="EV124" s="95" t="str">
        <f>DEC2HEX(syndrome($ET124,HEX2DEC($Y$33),HEX2DEC($Z$33),HEX2DEC($AA$33)),1)</f>
        <v>4</v>
      </c>
      <c r="EW124" s="95">
        <f>errpos(HEX2DEC($EV124),HEX2DEC($O$18),HEX2DEC($P$18),HEX2DEC($Q$18),HEX2DEC($R$18),HEX2DEC($S$18),HEX2DEC($T$18),HEX2DEC($U$18),HEX2DEC($V$18))</f>
        <v>0</v>
      </c>
      <c r="EX124" s="95" t="str">
        <f>IF(isNotAbleCollect(HEX2DEC($EV124),$EW124),"×","-")</f>
        <v>×</v>
      </c>
      <c r="EY124" s="96" t="str">
        <f>DEC2HEX(collectValue($ET124,HEX2DEC($EV124),HEX2DEC($EW124)),2)</f>
        <v>FF</v>
      </c>
    </row>
    <row r="125" spans="150:156" x14ac:dyDescent="0.15">
      <c r="ET125" s="93">
        <v>109</v>
      </c>
      <c r="EU125" s="94" t="str">
        <f>DEC2HEX($ET125,2)</f>
        <v>6D</v>
      </c>
      <c r="EV125" s="95" t="str">
        <f>DEC2HEX(syndrome($ET125,HEX2DEC($Y$33),HEX2DEC($Z$33),HEX2DEC($AA$33)),1)</f>
        <v>F</v>
      </c>
      <c r="EW125" s="95">
        <f>errpos(HEX2DEC($EV125),HEX2DEC($O$18),HEX2DEC($P$18),HEX2DEC($Q$18),HEX2DEC($R$18),HEX2DEC($S$18),HEX2DEC($T$18),HEX2DEC($U$18),HEX2DEC($V$18))</f>
        <v>4</v>
      </c>
      <c r="EX125" s="95" t="str">
        <f>IF(isNotAbleCollect(HEX2DEC($EV125),$EW125),"×","-")</f>
        <v>-</v>
      </c>
      <c r="EY125" s="96" t="str">
        <f>DEC2HEX(collectValue($ET125,HEX2DEC($EV125),HEX2DEC($EW125)),2)</f>
        <v>05</v>
      </c>
    </row>
    <row r="126" spans="150:156" x14ac:dyDescent="0.15">
      <c r="ET126" s="93">
        <v>110</v>
      </c>
      <c r="EU126" s="94" t="str">
        <f>DEC2HEX($ET126,2)</f>
        <v>6E</v>
      </c>
      <c r="EV126" s="95" t="str">
        <f>DEC2HEX(syndrome($ET126,HEX2DEC($Y$33),HEX2DEC($Z$33),HEX2DEC($AA$33)),1)</f>
        <v>A</v>
      </c>
      <c r="EW126" s="95">
        <f>errpos(HEX2DEC($EV126),HEX2DEC($O$18),HEX2DEC($P$18),HEX2DEC($Q$18),HEX2DEC($R$18),HEX2DEC($S$18),HEX2DEC($T$18),HEX2DEC($U$18),HEX2DEC($V$18))</f>
        <v>6</v>
      </c>
      <c r="EX126" s="95" t="str">
        <f>IF(isNotAbleCollect(HEX2DEC($EV126),$EW126),"×","-")</f>
        <v>-</v>
      </c>
      <c r="EY126" s="96" t="str">
        <f>DEC2HEX(collectValue($ET126,HEX2DEC($EV126),HEX2DEC($EW126)),2)</f>
        <v>0E</v>
      </c>
    </row>
    <row r="127" spans="150:156" x14ac:dyDescent="0.15">
      <c r="ET127" s="93">
        <v>111</v>
      </c>
      <c r="EU127" s="94" t="str">
        <f>DEC2HEX($ET127,2)</f>
        <v>6F</v>
      </c>
      <c r="EV127" s="95" t="str">
        <f>DEC2HEX(syndrome($ET127,HEX2DEC($Y$33),HEX2DEC($Z$33),HEX2DEC($AA$33)),1)</f>
        <v>1</v>
      </c>
      <c r="EW127" s="95">
        <f>errpos(HEX2DEC($EV127),HEX2DEC($O$18),HEX2DEC($P$18),HEX2DEC($Q$18),HEX2DEC($R$18),HEX2DEC($S$18),HEX2DEC($T$18),HEX2DEC($U$18),HEX2DEC($V$18))</f>
        <v>0</v>
      </c>
      <c r="EX127" s="95" t="str">
        <f>IF(isNotAbleCollect(HEX2DEC($EV127),$EW127),"×","-")</f>
        <v>×</v>
      </c>
      <c r="EY127" s="96" t="str">
        <f>DEC2HEX(collectValue($ET127,HEX2DEC($EV127),HEX2DEC($EW127)),2)</f>
        <v>FF</v>
      </c>
    </row>
    <row r="128" spans="150:156" x14ac:dyDescent="0.15">
      <c r="ET128" s="93">
        <v>112</v>
      </c>
      <c r="EU128" s="94" t="str">
        <f>DEC2HEX($ET128,2)</f>
        <v>70</v>
      </c>
      <c r="EV128" s="95" t="str">
        <f>DEC2HEX(syndrome($ET128,HEX2DEC($Y$33),HEX2DEC($Z$33),HEX2DEC($AA$33)),1)</f>
        <v>F</v>
      </c>
      <c r="EW128" s="95">
        <f>errpos(HEX2DEC($EV128),HEX2DEC($O$18),HEX2DEC($P$18),HEX2DEC($Q$18),HEX2DEC($R$18),HEX2DEC($S$18),HEX2DEC($T$18),HEX2DEC($U$18),HEX2DEC($V$18))</f>
        <v>4</v>
      </c>
      <c r="EX128" s="95" t="str">
        <f>IF(isNotAbleCollect(HEX2DEC($EV128),$EW128),"×","-")</f>
        <v>-</v>
      </c>
      <c r="EY128" s="96" t="str">
        <f>DEC2HEX(collectValue($ET128,HEX2DEC($EV128),HEX2DEC($EW128)),2)</f>
        <v>08</v>
      </c>
    </row>
    <row r="129" spans="150:156" x14ac:dyDescent="0.15">
      <c r="ET129" s="93">
        <v>113</v>
      </c>
      <c r="EU129" s="94" t="str">
        <f>DEC2HEX($ET129,2)</f>
        <v>71</v>
      </c>
      <c r="EV129" s="95" t="str">
        <f>DEC2HEX(syndrome($ET129,HEX2DEC($Y$33),HEX2DEC($Z$33),HEX2DEC($AA$33)),1)</f>
        <v>4</v>
      </c>
      <c r="EW129" s="95">
        <f>errpos(HEX2DEC($EV129),HEX2DEC($O$18),HEX2DEC($P$18),HEX2DEC($Q$18),HEX2DEC($R$18),HEX2DEC($S$18),HEX2DEC($T$18),HEX2DEC($U$18),HEX2DEC($V$18))</f>
        <v>0</v>
      </c>
      <c r="EX129" s="95" t="str">
        <f>IF(isNotAbleCollect(HEX2DEC($EV129),$EW129),"×","-")</f>
        <v>×</v>
      </c>
      <c r="EY129" s="96" t="str">
        <f>DEC2HEX(collectValue($ET129,HEX2DEC($EV129),HEX2DEC($EW129)),2)</f>
        <v>FF</v>
      </c>
    </row>
    <row r="130" spans="150:156" x14ac:dyDescent="0.15">
      <c r="ET130" s="93">
        <v>114</v>
      </c>
      <c r="EU130" s="94" t="str">
        <f>DEC2HEX($ET130,2)</f>
        <v>72</v>
      </c>
      <c r="EV130" s="95" t="str">
        <f>DEC2HEX(syndrome($ET130,HEX2DEC($Y$33),HEX2DEC($Z$33),HEX2DEC($AA$33)),1)</f>
        <v>1</v>
      </c>
      <c r="EW130" s="95">
        <f>errpos(HEX2DEC($EV130),HEX2DEC($O$18),HEX2DEC($P$18),HEX2DEC($Q$18),HEX2DEC($R$18),HEX2DEC($S$18),HEX2DEC($T$18),HEX2DEC($U$18),HEX2DEC($V$18))</f>
        <v>0</v>
      </c>
      <c r="EX130" s="95" t="str">
        <f>IF(isNotAbleCollect(HEX2DEC($EV130),$EW130),"×","-")</f>
        <v>×</v>
      </c>
      <c r="EY130" s="96" t="str">
        <f>DEC2HEX(collectValue($ET130,HEX2DEC($EV130),HEX2DEC($EW130)),2)</f>
        <v>FF</v>
      </c>
    </row>
    <row r="131" spans="150:156" x14ac:dyDescent="0.15">
      <c r="ET131" s="93">
        <v>115</v>
      </c>
      <c r="EU131" s="94" t="str">
        <f>DEC2HEX($ET131,2)</f>
        <v>73</v>
      </c>
      <c r="EV131" s="95" t="str">
        <f>DEC2HEX(syndrome($ET131,HEX2DEC($Y$33),HEX2DEC($Z$33),HEX2DEC($AA$33)),1)</f>
        <v>A</v>
      </c>
      <c r="EW131" s="95">
        <f>errpos(HEX2DEC($EV131),HEX2DEC($O$18),HEX2DEC($P$18),HEX2DEC($Q$18),HEX2DEC($R$18),HEX2DEC($S$18),HEX2DEC($T$18),HEX2DEC($U$18),HEX2DEC($V$18))</f>
        <v>6</v>
      </c>
      <c r="EX131" s="95" t="str">
        <f>IF(isNotAbleCollect(HEX2DEC($EV131),$EW131),"×","-")</f>
        <v>-</v>
      </c>
      <c r="EY131" s="96" t="str">
        <f>DEC2HEX(collectValue($ET131,HEX2DEC($EV131),HEX2DEC($EW131)),2)</f>
        <v>03</v>
      </c>
    </row>
    <row r="132" spans="150:156" x14ac:dyDescent="0.15">
      <c r="ET132" s="93">
        <v>116</v>
      </c>
      <c r="EU132" s="94" t="str">
        <f>DEC2HEX($ET132,2)</f>
        <v>74</v>
      </c>
      <c r="EV132" s="95" t="str">
        <f>DEC2HEX(syndrome($ET132,HEX2DEC($Y$33),HEX2DEC($Z$33),HEX2DEC($AA$33)),1)</f>
        <v>2</v>
      </c>
      <c r="EW132" s="95">
        <f>errpos(HEX2DEC($EV132),HEX2DEC($O$18),HEX2DEC($P$18),HEX2DEC($Q$18),HEX2DEC($R$18),HEX2DEC($S$18),HEX2DEC($T$18),HEX2DEC($U$18),HEX2DEC($V$18))</f>
        <v>0</v>
      </c>
      <c r="EX132" s="95" t="str">
        <f>IF(isNotAbleCollect(HEX2DEC($EV132),$EW132),"×","-")</f>
        <v>×</v>
      </c>
      <c r="EY132" s="96" t="str">
        <f>DEC2HEX(collectValue($ET132,HEX2DEC($EV132),HEX2DEC($EW132)),2)</f>
        <v>FF</v>
      </c>
    </row>
    <row r="133" spans="150:156" x14ac:dyDescent="0.15">
      <c r="ET133" s="93">
        <v>117</v>
      </c>
      <c r="EU133" s="94" t="str">
        <f>DEC2HEX($ET133,2)</f>
        <v>75</v>
      </c>
      <c r="EV133" s="95" t="str">
        <f>DEC2HEX(syndrome($ET133,HEX2DEC($Y$33),HEX2DEC($Z$33),HEX2DEC($AA$33)),1)</f>
        <v>9</v>
      </c>
      <c r="EW133" s="95">
        <f>errpos(HEX2DEC($EV133),HEX2DEC($O$18),HEX2DEC($P$18),HEX2DEC($Q$18),HEX2DEC($R$18),HEX2DEC($S$18),HEX2DEC($T$18),HEX2DEC($U$18),HEX2DEC($V$18))</f>
        <v>5</v>
      </c>
      <c r="EX133" s="95" t="str">
        <f>IF(isNotAbleCollect(HEX2DEC($EV133),$EW133),"×","-")</f>
        <v>-</v>
      </c>
      <c r="EY133" s="96" t="str">
        <f>DEC2HEX(collectValue($ET133,HEX2DEC($EV133),HEX2DEC($EW133)),2)</f>
        <v>05</v>
      </c>
    </row>
    <row r="134" spans="150:156" x14ac:dyDescent="0.15">
      <c r="ET134" s="93">
        <v>118</v>
      </c>
      <c r="EU134" s="94" t="str">
        <f>DEC2HEX($ET134,2)</f>
        <v>76</v>
      </c>
      <c r="EV134" s="95" t="str">
        <f>DEC2HEX(syndrome($ET134,HEX2DEC($Y$33),HEX2DEC($Z$33),HEX2DEC($AA$33)),1)</f>
        <v>C</v>
      </c>
      <c r="EW134" s="95">
        <f>errpos(HEX2DEC($EV134),HEX2DEC($O$18),HEX2DEC($P$18),HEX2DEC($Q$18),HEX2DEC($R$18),HEX2DEC($S$18),HEX2DEC($T$18),HEX2DEC($U$18),HEX2DEC($V$18))</f>
        <v>7</v>
      </c>
      <c r="EX134" s="95" t="str">
        <f>IF(isNotAbleCollect(HEX2DEC($EV134),$EW134),"×","-")</f>
        <v>-</v>
      </c>
      <c r="EY134" s="96" t="str">
        <f>DEC2HEX(collectValue($ET134,HEX2DEC($EV134),HEX2DEC($EW134)),2)</f>
        <v>06</v>
      </c>
    </row>
    <row r="135" spans="150:156" x14ac:dyDescent="0.15">
      <c r="ET135" s="93">
        <v>119</v>
      </c>
      <c r="EU135" s="94" t="str">
        <f>DEC2HEX($ET135,2)</f>
        <v>77</v>
      </c>
      <c r="EV135" s="95" t="str">
        <f>DEC2HEX(syndrome($ET135,HEX2DEC($Y$33),HEX2DEC($Z$33),HEX2DEC($AA$33)),1)</f>
        <v>7</v>
      </c>
      <c r="EW135" s="95">
        <f>errpos(HEX2DEC($EV135),HEX2DEC($O$18),HEX2DEC($P$18),HEX2DEC($Q$18),HEX2DEC($R$18),HEX2DEC($S$18),HEX2DEC($T$18),HEX2DEC($U$18),HEX2DEC($V$18))</f>
        <v>0</v>
      </c>
      <c r="EX135" s="95" t="str">
        <f>IF(isNotAbleCollect(HEX2DEC($EV135),$EW135),"×","-")</f>
        <v>×</v>
      </c>
      <c r="EY135" s="96" t="str">
        <f>DEC2HEX(collectValue($ET135,HEX2DEC($EV135),HEX2DEC($EW135)),2)</f>
        <v>FF</v>
      </c>
    </row>
    <row r="136" spans="150:156" x14ac:dyDescent="0.15">
      <c r="ET136" s="93">
        <v>120</v>
      </c>
      <c r="EU136" s="94" t="str">
        <f>DEC2HEX($ET136,2)</f>
        <v>78</v>
      </c>
      <c r="EV136" s="95" t="str">
        <f>DEC2HEX(syndrome($ET136,HEX2DEC($Y$33),HEX2DEC($Z$33),HEX2DEC($AA$33)),1)</f>
        <v>0</v>
      </c>
      <c r="EW136" s="95">
        <f>errpos(HEX2DEC($EV136),HEX2DEC($O$18),HEX2DEC($P$18),HEX2DEC($Q$18),HEX2DEC($R$18),HEX2DEC($S$18),HEX2DEC($T$18),HEX2DEC($U$18),HEX2DEC($V$18))</f>
        <v>0</v>
      </c>
      <c r="EX136" s="95" t="str">
        <f>IF(isNotAbleCollect(HEX2DEC($EV136),$EW136),"×","-")</f>
        <v>-</v>
      </c>
      <c r="EY136" s="96" t="str">
        <f>DEC2HEX(collectValue($ET136,HEX2DEC($EV136),HEX2DEC($EW136)),2)</f>
        <v>08</v>
      </c>
      <c r="EZ136" s="90">
        <v>8</v>
      </c>
    </row>
    <row r="137" spans="150:156" x14ac:dyDescent="0.15">
      <c r="ET137" s="93">
        <v>121</v>
      </c>
      <c r="EU137" s="94" t="str">
        <f>DEC2HEX($ET137,2)</f>
        <v>79</v>
      </c>
      <c r="EV137" s="95" t="str">
        <f>DEC2HEX(syndrome($ET137,HEX2DEC($Y$33),HEX2DEC($Z$33),HEX2DEC($AA$33)),1)</f>
        <v>B</v>
      </c>
      <c r="EW137" s="95">
        <f>errpos(HEX2DEC($EV137),HEX2DEC($O$18),HEX2DEC($P$18),HEX2DEC($Q$18),HEX2DEC($R$18),HEX2DEC($S$18),HEX2DEC($T$18),HEX2DEC($U$18),HEX2DEC($V$18))</f>
        <v>1</v>
      </c>
      <c r="EX137" s="95" t="str">
        <f>IF(isNotAbleCollect(HEX2DEC($EV137),$EW137),"×","-")</f>
        <v>-</v>
      </c>
      <c r="EY137" s="96" t="str">
        <f>DEC2HEX(collectValue($ET137,HEX2DEC($EV137),HEX2DEC($EW137)),2)</f>
        <v>08</v>
      </c>
    </row>
    <row r="138" spans="150:156" x14ac:dyDescent="0.15">
      <c r="ET138" s="93">
        <v>122</v>
      </c>
      <c r="EU138" s="94" t="str">
        <f>DEC2HEX($ET138,2)</f>
        <v>7A</v>
      </c>
      <c r="EV138" s="95" t="str">
        <f>DEC2HEX(syndrome($ET138,HEX2DEC($Y$33),HEX2DEC($Z$33),HEX2DEC($AA$33)),1)</f>
        <v>E</v>
      </c>
      <c r="EW138" s="95">
        <f>errpos(HEX2DEC($EV138),HEX2DEC($O$18),HEX2DEC($P$18),HEX2DEC($Q$18),HEX2DEC($R$18),HEX2DEC($S$18),HEX2DEC($T$18),HEX2DEC($U$18),HEX2DEC($V$18))</f>
        <v>2</v>
      </c>
      <c r="EX138" s="95" t="str">
        <f>IF(isNotAbleCollect(HEX2DEC($EV138),$EW138),"×","-")</f>
        <v>-</v>
      </c>
      <c r="EY138" s="96" t="str">
        <f>DEC2HEX(collectValue($ET138,HEX2DEC($EV138),HEX2DEC($EW138)),2)</f>
        <v>08</v>
      </c>
    </row>
    <row r="139" spans="150:156" x14ac:dyDescent="0.15">
      <c r="ET139" s="93">
        <v>123</v>
      </c>
      <c r="EU139" s="94" t="str">
        <f>DEC2HEX($ET139,2)</f>
        <v>7B</v>
      </c>
      <c r="EV139" s="95" t="str">
        <f>DEC2HEX(syndrome($ET139,HEX2DEC($Y$33),HEX2DEC($Z$33),HEX2DEC($AA$33)),1)</f>
        <v>5</v>
      </c>
      <c r="EW139" s="95">
        <f>errpos(HEX2DEC($EV139),HEX2DEC($O$18),HEX2DEC($P$18),HEX2DEC($Q$18),HEX2DEC($R$18),HEX2DEC($S$18),HEX2DEC($T$18),HEX2DEC($U$18),HEX2DEC($V$18))</f>
        <v>0</v>
      </c>
      <c r="EX139" s="95" t="str">
        <f>IF(isNotAbleCollect(HEX2DEC($EV139),$EW139),"×","-")</f>
        <v>×</v>
      </c>
      <c r="EY139" s="96" t="str">
        <f>DEC2HEX(collectValue($ET139,HEX2DEC($EV139),HEX2DEC($EW139)),2)</f>
        <v>FF</v>
      </c>
    </row>
    <row r="140" spans="150:156" x14ac:dyDescent="0.15">
      <c r="ET140" s="93">
        <v>124</v>
      </c>
      <c r="EU140" s="94" t="str">
        <f>DEC2HEX($ET140,2)</f>
        <v>7C</v>
      </c>
      <c r="EV140" s="95" t="str">
        <f>DEC2HEX(syndrome($ET140,HEX2DEC($Y$33),HEX2DEC($Z$33),HEX2DEC($AA$33)),1)</f>
        <v>D</v>
      </c>
      <c r="EW140" s="95">
        <f>errpos(HEX2DEC($EV140),HEX2DEC($O$18),HEX2DEC($P$18),HEX2DEC($Q$18),HEX2DEC($R$18),HEX2DEC($S$18),HEX2DEC($T$18),HEX2DEC($U$18),HEX2DEC($V$18))</f>
        <v>3</v>
      </c>
      <c r="EX140" s="95" t="str">
        <f>IF(isNotAbleCollect(HEX2DEC($EV140),$EW140),"×","-")</f>
        <v>-</v>
      </c>
      <c r="EY140" s="96" t="str">
        <f>DEC2HEX(collectValue($ET140,HEX2DEC($EV140),HEX2DEC($EW140)),2)</f>
        <v>08</v>
      </c>
    </row>
    <row r="141" spans="150:156" x14ac:dyDescent="0.15">
      <c r="ET141" s="93">
        <v>125</v>
      </c>
      <c r="EU141" s="94" t="str">
        <f>DEC2HEX($ET141,2)</f>
        <v>7D</v>
      </c>
      <c r="EV141" s="95" t="str">
        <f>DEC2HEX(syndrome($ET141,HEX2DEC($Y$33),HEX2DEC($Z$33),HEX2DEC($AA$33)),1)</f>
        <v>6</v>
      </c>
      <c r="EW141" s="95">
        <f>errpos(HEX2DEC($EV141),HEX2DEC($O$18),HEX2DEC($P$18),HEX2DEC($Q$18),HEX2DEC($R$18),HEX2DEC($S$18),HEX2DEC($T$18),HEX2DEC($U$18),HEX2DEC($V$18))</f>
        <v>0</v>
      </c>
      <c r="EX141" s="95" t="str">
        <f>IF(isNotAbleCollect(HEX2DEC($EV141),$EW141),"×","-")</f>
        <v>×</v>
      </c>
      <c r="EY141" s="96" t="str">
        <f>DEC2HEX(collectValue($ET141,HEX2DEC($EV141),HEX2DEC($EW141)),2)</f>
        <v>FF</v>
      </c>
    </row>
    <row r="142" spans="150:156" x14ac:dyDescent="0.15">
      <c r="ET142" s="93">
        <v>126</v>
      </c>
      <c r="EU142" s="94" t="str">
        <f>DEC2HEX($ET142,2)</f>
        <v>7E</v>
      </c>
      <c r="EV142" s="95" t="str">
        <f>DEC2HEX(syndrome($ET142,HEX2DEC($Y$33),HEX2DEC($Z$33),HEX2DEC($AA$33)),1)</f>
        <v>3</v>
      </c>
      <c r="EW142" s="95">
        <f>errpos(HEX2DEC($EV142),HEX2DEC($O$18),HEX2DEC($P$18),HEX2DEC($Q$18),HEX2DEC($R$18),HEX2DEC($S$18),HEX2DEC($T$18),HEX2DEC($U$18),HEX2DEC($V$18))</f>
        <v>0</v>
      </c>
      <c r="EX142" s="95" t="str">
        <f>IF(isNotAbleCollect(HEX2DEC($EV142),$EW142),"×","-")</f>
        <v>×</v>
      </c>
      <c r="EY142" s="96" t="str">
        <f>DEC2HEX(collectValue($ET142,HEX2DEC($EV142),HEX2DEC($EW142)),2)</f>
        <v>FF</v>
      </c>
    </row>
    <row r="143" spans="150:156" x14ac:dyDescent="0.15">
      <c r="ET143" s="93">
        <v>127</v>
      </c>
      <c r="EU143" s="94" t="str">
        <f>DEC2HEX($ET143,2)</f>
        <v>7F</v>
      </c>
      <c r="EV143" s="95" t="str">
        <f>DEC2HEX(syndrome($ET143,HEX2DEC($Y$33),HEX2DEC($Z$33),HEX2DEC($AA$33)),1)</f>
        <v>8</v>
      </c>
      <c r="EW143" s="95">
        <f>errpos(HEX2DEC($EV143),HEX2DEC($O$18),HEX2DEC($P$18),HEX2DEC($Q$18),HEX2DEC($R$18),HEX2DEC($S$18),HEX2DEC($T$18),HEX2DEC($U$18),HEX2DEC($V$18))</f>
        <v>8</v>
      </c>
      <c r="EX143" s="95" t="str">
        <f>IF(isNotAbleCollect(HEX2DEC($EV143),$EW143),"×","-")</f>
        <v>-</v>
      </c>
      <c r="EY143" s="96" t="str">
        <f>DEC2HEX(collectValue($ET143,HEX2DEC($EV143),HEX2DEC($EW143)),2)</f>
        <v>0F</v>
      </c>
    </row>
    <row r="144" spans="150:156" x14ac:dyDescent="0.15">
      <c r="ET144" s="93">
        <v>128</v>
      </c>
      <c r="EU144" s="94" t="str">
        <f>DEC2HEX($ET144,2)</f>
        <v>80</v>
      </c>
      <c r="EV144" s="95" t="str">
        <f>DEC2HEX(syndrome($ET144,HEX2DEC($Y$33),HEX2DEC($Z$33),HEX2DEC($AA$33)),1)</f>
        <v>8</v>
      </c>
      <c r="EW144" s="95">
        <f>errpos(HEX2DEC($EV144),HEX2DEC($O$18),HEX2DEC($P$18),HEX2DEC($Q$18),HEX2DEC($R$18),HEX2DEC($S$18),HEX2DEC($T$18),HEX2DEC($U$18),HEX2DEC($V$18))</f>
        <v>8</v>
      </c>
      <c r="EX144" s="95" t="str">
        <f>IF(isNotAbleCollect(HEX2DEC($EV144),$EW144),"×","-")</f>
        <v>-</v>
      </c>
      <c r="EY144" s="96" t="str">
        <f>DEC2HEX(collectValue($ET144,HEX2DEC($EV144),HEX2DEC($EW144)),2)</f>
        <v>00</v>
      </c>
    </row>
    <row r="145" spans="150:156" x14ac:dyDescent="0.15">
      <c r="ET145" s="93">
        <v>129</v>
      </c>
      <c r="EU145" s="94" t="str">
        <f>DEC2HEX($ET145,2)</f>
        <v>81</v>
      </c>
      <c r="EV145" s="95" t="str">
        <f>DEC2HEX(syndrome($ET145,HEX2DEC($Y$33),HEX2DEC($Z$33),HEX2DEC($AA$33)),1)</f>
        <v>3</v>
      </c>
      <c r="EW145" s="95">
        <f>errpos(HEX2DEC($EV145),HEX2DEC($O$18),HEX2DEC($P$18),HEX2DEC($Q$18),HEX2DEC($R$18),HEX2DEC($S$18),HEX2DEC($T$18),HEX2DEC($U$18),HEX2DEC($V$18))</f>
        <v>0</v>
      </c>
      <c r="EX145" s="95" t="str">
        <f>IF(isNotAbleCollect(HEX2DEC($EV145),$EW145),"×","-")</f>
        <v>×</v>
      </c>
      <c r="EY145" s="96" t="str">
        <f>DEC2HEX(collectValue($ET145,HEX2DEC($EV145),HEX2DEC($EW145)),2)</f>
        <v>FF</v>
      </c>
    </row>
    <row r="146" spans="150:156" x14ac:dyDescent="0.15">
      <c r="ET146" s="93">
        <v>130</v>
      </c>
      <c r="EU146" s="94" t="str">
        <f>DEC2HEX($ET146,2)</f>
        <v>82</v>
      </c>
      <c r="EV146" s="95" t="str">
        <f>DEC2HEX(syndrome($ET146,HEX2DEC($Y$33),HEX2DEC($Z$33),HEX2DEC($AA$33)),1)</f>
        <v>6</v>
      </c>
      <c r="EW146" s="95">
        <f>errpos(HEX2DEC($EV146),HEX2DEC($O$18),HEX2DEC($P$18),HEX2DEC($Q$18),HEX2DEC($R$18),HEX2DEC($S$18),HEX2DEC($T$18),HEX2DEC($U$18),HEX2DEC($V$18))</f>
        <v>0</v>
      </c>
      <c r="EX146" s="95" t="str">
        <f>IF(isNotAbleCollect(HEX2DEC($EV146),$EW146),"×","-")</f>
        <v>×</v>
      </c>
      <c r="EY146" s="96" t="str">
        <f>DEC2HEX(collectValue($ET146,HEX2DEC($EV146),HEX2DEC($EW146)),2)</f>
        <v>FF</v>
      </c>
    </row>
    <row r="147" spans="150:156" x14ac:dyDescent="0.15">
      <c r="ET147" s="93">
        <v>131</v>
      </c>
      <c r="EU147" s="94" t="str">
        <f>DEC2HEX($ET147,2)</f>
        <v>83</v>
      </c>
      <c r="EV147" s="95" t="str">
        <f>DEC2HEX(syndrome($ET147,HEX2DEC($Y$33),HEX2DEC($Z$33),HEX2DEC($AA$33)),1)</f>
        <v>D</v>
      </c>
      <c r="EW147" s="95">
        <f>errpos(HEX2DEC($EV147),HEX2DEC($O$18),HEX2DEC($P$18),HEX2DEC($Q$18),HEX2DEC($R$18),HEX2DEC($S$18),HEX2DEC($T$18),HEX2DEC($U$18),HEX2DEC($V$18))</f>
        <v>3</v>
      </c>
      <c r="EX147" s="95" t="str">
        <f>IF(isNotAbleCollect(HEX2DEC($EV147),$EW147),"×","-")</f>
        <v>-</v>
      </c>
      <c r="EY147" s="96" t="str">
        <f>DEC2HEX(collectValue($ET147,HEX2DEC($EV147),HEX2DEC($EW147)),2)</f>
        <v>07</v>
      </c>
    </row>
    <row r="148" spans="150:156" x14ac:dyDescent="0.15">
      <c r="ET148" s="93">
        <v>132</v>
      </c>
      <c r="EU148" s="94" t="str">
        <f>DEC2HEX($ET148,2)</f>
        <v>84</v>
      </c>
      <c r="EV148" s="95" t="str">
        <f>DEC2HEX(syndrome($ET148,HEX2DEC($Y$33),HEX2DEC($Z$33),HEX2DEC($AA$33)),1)</f>
        <v>5</v>
      </c>
      <c r="EW148" s="95">
        <f>errpos(HEX2DEC($EV148),HEX2DEC($O$18),HEX2DEC($P$18),HEX2DEC($Q$18),HEX2DEC($R$18),HEX2DEC($S$18),HEX2DEC($T$18),HEX2DEC($U$18),HEX2DEC($V$18))</f>
        <v>0</v>
      </c>
      <c r="EX148" s="95" t="str">
        <f>IF(isNotAbleCollect(HEX2DEC($EV148),$EW148),"×","-")</f>
        <v>×</v>
      </c>
      <c r="EY148" s="96" t="str">
        <f>DEC2HEX(collectValue($ET148,HEX2DEC($EV148),HEX2DEC($EW148)),2)</f>
        <v>FF</v>
      </c>
    </row>
    <row r="149" spans="150:156" x14ac:dyDescent="0.15">
      <c r="ET149" s="93">
        <v>133</v>
      </c>
      <c r="EU149" s="94" t="str">
        <f>DEC2HEX($ET149,2)</f>
        <v>85</v>
      </c>
      <c r="EV149" s="95" t="str">
        <f>DEC2HEX(syndrome($ET149,HEX2DEC($Y$33),HEX2DEC($Z$33),HEX2DEC($AA$33)),1)</f>
        <v>E</v>
      </c>
      <c r="EW149" s="95">
        <f>errpos(HEX2DEC($EV149),HEX2DEC($O$18),HEX2DEC($P$18),HEX2DEC($Q$18),HEX2DEC($R$18),HEX2DEC($S$18),HEX2DEC($T$18),HEX2DEC($U$18),HEX2DEC($V$18))</f>
        <v>2</v>
      </c>
      <c r="EX149" s="95" t="str">
        <f>IF(isNotAbleCollect(HEX2DEC($EV149),$EW149),"×","-")</f>
        <v>-</v>
      </c>
      <c r="EY149" s="96" t="str">
        <f>DEC2HEX(collectValue($ET149,HEX2DEC($EV149),HEX2DEC($EW149)),2)</f>
        <v>07</v>
      </c>
    </row>
    <row r="150" spans="150:156" x14ac:dyDescent="0.15">
      <c r="ET150" s="93">
        <v>134</v>
      </c>
      <c r="EU150" s="94" t="str">
        <f>DEC2HEX($ET150,2)</f>
        <v>86</v>
      </c>
      <c r="EV150" s="95" t="str">
        <f>DEC2HEX(syndrome($ET150,HEX2DEC($Y$33),HEX2DEC($Z$33),HEX2DEC($AA$33)),1)</f>
        <v>B</v>
      </c>
      <c r="EW150" s="95">
        <f>errpos(HEX2DEC($EV150),HEX2DEC($O$18),HEX2DEC($P$18),HEX2DEC($Q$18),HEX2DEC($R$18),HEX2DEC($S$18),HEX2DEC($T$18),HEX2DEC($U$18),HEX2DEC($V$18))</f>
        <v>1</v>
      </c>
      <c r="EX150" s="95" t="str">
        <f>IF(isNotAbleCollect(HEX2DEC($EV150),$EW150),"×","-")</f>
        <v>-</v>
      </c>
      <c r="EY150" s="96" t="str">
        <f>DEC2HEX(collectValue($ET150,HEX2DEC($EV150),HEX2DEC($EW150)),2)</f>
        <v>07</v>
      </c>
    </row>
    <row r="151" spans="150:156" x14ac:dyDescent="0.15">
      <c r="ET151" s="93">
        <v>135</v>
      </c>
      <c r="EU151" s="94" t="str">
        <f>DEC2HEX($ET151,2)</f>
        <v>87</v>
      </c>
      <c r="EV151" s="95" t="str">
        <f>DEC2HEX(syndrome($ET151,HEX2DEC($Y$33),HEX2DEC($Z$33),HEX2DEC($AA$33)),1)</f>
        <v>0</v>
      </c>
      <c r="EW151" s="95">
        <f>errpos(HEX2DEC($EV151),HEX2DEC($O$18),HEX2DEC($P$18),HEX2DEC($Q$18),HEX2DEC($R$18),HEX2DEC($S$18),HEX2DEC($T$18),HEX2DEC($U$18),HEX2DEC($V$18))</f>
        <v>0</v>
      </c>
      <c r="EX151" s="95" t="str">
        <f>IF(isNotAbleCollect(HEX2DEC($EV151),$EW151),"×","-")</f>
        <v>-</v>
      </c>
      <c r="EY151" s="96" t="str">
        <f>DEC2HEX(collectValue($ET151,HEX2DEC($EV151),HEX2DEC($EW151)),2)</f>
        <v>07</v>
      </c>
      <c r="EZ151" s="90">
        <v>9</v>
      </c>
    </row>
    <row r="152" spans="150:156" x14ac:dyDescent="0.15">
      <c r="ET152" s="93">
        <v>136</v>
      </c>
      <c r="EU152" s="94" t="str">
        <f>DEC2HEX($ET152,2)</f>
        <v>88</v>
      </c>
      <c r="EV152" s="95" t="str">
        <f>DEC2HEX(syndrome($ET152,HEX2DEC($Y$33),HEX2DEC($Z$33),HEX2DEC($AA$33)),1)</f>
        <v>7</v>
      </c>
      <c r="EW152" s="95">
        <f>errpos(HEX2DEC($EV152),HEX2DEC($O$18),HEX2DEC($P$18),HEX2DEC($Q$18),HEX2DEC($R$18),HEX2DEC($S$18),HEX2DEC($T$18),HEX2DEC($U$18),HEX2DEC($V$18))</f>
        <v>0</v>
      </c>
      <c r="EX152" s="95" t="str">
        <f>IF(isNotAbleCollect(HEX2DEC($EV152),$EW152),"×","-")</f>
        <v>×</v>
      </c>
      <c r="EY152" s="96" t="str">
        <f>DEC2HEX(collectValue($ET152,HEX2DEC($EV152),HEX2DEC($EW152)),2)</f>
        <v>FF</v>
      </c>
    </row>
    <row r="153" spans="150:156" x14ac:dyDescent="0.15">
      <c r="ET153" s="93">
        <v>137</v>
      </c>
      <c r="EU153" s="94" t="str">
        <f>DEC2HEX($ET153,2)</f>
        <v>89</v>
      </c>
      <c r="EV153" s="95" t="str">
        <f>DEC2HEX(syndrome($ET153,HEX2DEC($Y$33),HEX2DEC($Z$33),HEX2DEC($AA$33)),1)</f>
        <v>C</v>
      </c>
      <c r="EW153" s="95">
        <f>errpos(HEX2DEC($EV153),HEX2DEC($O$18),HEX2DEC($P$18),HEX2DEC($Q$18),HEX2DEC($R$18),HEX2DEC($S$18),HEX2DEC($T$18),HEX2DEC($U$18),HEX2DEC($V$18))</f>
        <v>7</v>
      </c>
      <c r="EX153" s="95" t="str">
        <f>IF(isNotAbleCollect(HEX2DEC($EV153),$EW153),"×","-")</f>
        <v>-</v>
      </c>
      <c r="EY153" s="96" t="str">
        <f>DEC2HEX(collectValue($ET153,HEX2DEC($EV153),HEX2DEC($EW153)),2)</f>
        <v>09</v>
      </c>
    </row>
    <row r="154" spans="150:156" x14ac:dyDescent="0.15">
      <c r="ET154" s="93">
        <v>138</v>
      </c>
      <c r="EU154" s="94" t="str">
        <f>DEC2HEX($ET154,2)</f>
        <v>8A</v>
      </c>
      <c r="EV154" s="95" t="str">
        <f>DEC2HEX(syndrome($ET154,HEX2DEC($Y$33),HEX2DEC($Z$33),HEX2DEC($AA$33)),1)</f>
        <v>9</v>
      </c>
      <c r="EW154" s="95">
        <f>errpos(HEX2DEC($EV154),HEX2DEC($O$18),HEX2DEC($P$18),HEX2DEC($Q$18),HEX2DEC($R$18),HEX2DEC($S$18),HEX2DEC($T$18),HEX2DEC($U$18),HEX2DEC($V$18))</f>
        <v>5</v>
      </c>
      <c r="EX154" s="95" t="str">
        <f>IF(isNotAbleCollect(HEX2DEC($EV154),$EW154),"×","-")</f>
        <v>-</v>
      </c>
      <c r="EY154" s="96" t="str">
        <f>DEC2HEX(collectValue($ET154,HEX2DEC($EV154),HEX2DEC($EW154)),2)</f>
        <v>0A</v>
      </c>
    </row>
    <row r="155" spans="150:156" x14ac:dyDescent="0.15">
      <c r="ET155" s="93">
        <v>139</v>
      </c>
      <c r="EU155" s="94" t="str">
        <f>DEC2HEX($ET155,2)</f>
        <v>8B</v>
      </c>
      <c r="EV155" s="95" t="str">
        <f>DEC2HEX(syndrome($ET155,HEX2DEC($Y$33),HEX2DEC($Z$33),HEX2DEC($AA$33)),1)</f>
        <v>2</v>
      </c>
      <c r="EW155" s="95">
        <f>errpos(HEX2DEC($EV155),HEX2DEC($O$18),HEX2DEC($P$18),HEX2DEC($Q$18),HEX2DEC($R$18),HEX2DEC($S$18),HEX2DEC($T$18),HEX2DEC($U$18),HEX2DEC($V$18))</f>
        <v>0</v>
      </c>
      <c r="EX155" s="95" t="str">
        <f>IF(isNotAbleCollect(HEX2DEC($EV155),$EW155),"×","-")</f>
        <v>×</v>
      </c>
      <c r="EY155" s="96" t="str">
        <f>DEC2HEX(collectValue($ET155,HEX2DEC($EV155),HEX2DEC($EW155)),2)</f>
        <v>FF</v>
      </c>
    </row>
    <row r="156" spans="150:156" x14ac:dyDescent="0.15">
      <c r="ET156" s="93">
        <v>140</v>
      </c>
      <c r="EU156" s="94" t="str">
        <f>DEC2HEX($ET156,2)</f>
        <v>8C</v>
      </c>
      <c r="EV156" s="95" t="str">
        <f>DEC2HEX(syndrome($ET156,HEX2DEC($Y$33),HEX2DEC($Z$33),HEX2DEC($AA$33)),1)</f>
        <v>A</v>
      </c>
      <c r="EW156" s="95">
        <f>errpos(HEX2DEC($EV156),HEX2DEC($O$18),HEX2DEC($P$18),HEX2DEC($Q$18),HEX2DEC($R$18),HEX2DEC($S$18),HEX2DEC($T$18),HEX2DEC($U$18),HEX2DEC($V$18))</f>
        <v>6</v>
      </c>
      <c r="EX156" s="95" t="str">
        <f>IF(isNotAbleCollect(HEX2DEC($EV156),$EW156),"×","-")</f>
        <v>-</v>
      </c>
      <c r="EY156" s="96" t="str">
        <f>DEC2HEX(collectValue($ET156,HEX2DEC($EV156),HEX2DEC($EW156)),2)</f>
        <v>0C</v>
      </c>
    </row>
    <row r="157" spans="150:156" x14ac:dyDescent="0.15">
      <c r="ET157" s="93">
        <v>141</v>
      </c>
      <c r="EU157" s="94" t="str">
        <f>DEC2HEX($ET157,2)</f>
        <v>8D</v>
      </c>
      <c r="EV157" s="95" t="str">
        <f>DEC2HEX(syndrome($ET157,HEX2DEC($Y$33),HEX2DEC($Z$33),HEX2DEC($AA$33)),1)</f>
        <v>1</v>
      </c>
      <c r="EW157" s="95">
        <f>errpos(HEX2DEC($EV157),HEX2DEC($O$18),HEX2DEC($P$18),HEX2DEC($Q$18),HEX2DEC($R$18),HEX2DEC($S$18),HEX2DEC($T$18),HEX2DEC($U$18),HEX2DEC($V$18))</f>
        <v>0</v>
      </c>
      <c r="EX157" s="95" t="str">
        <f>IF(isNotAbleCollect(HEX2DEC($EV157),$EW157),"×","-")</f>
        <v>×</v>
      </c>
      <c r="EY157" s="96" t="str">
        <f>DEC2HEX(collectValue($ET157,HEX2DEC($EV157),HEX2DEC($EW157)),2)</f>
        <v>FF</v>
      </c>
    </row>
    <row r="158" spans="150:156" x14ac:dyDescent="0.15">
      <c r="ET158" s="93">
        <v>142</v>
      </c>
      <c r="EU158" s="94" t="str">
        <f>DEC2HEX($ET158,2)</f>
        <v>8E</v>
      </c>
      <c r="EV158" s="95" t="str">
        <f>DEC2HEX(syndrome($ET158,HEX2DEC($Y$33),HEX2DEC($Z$33),HEX2DEC($AA$33)),1)</f>
        <v>4</v>
      </c>
      <c r="EW158" s="95">
        <f>errpos(HEX2DEC($EV158),HEX2DEC($O$18),HEX2DEC($P$18),HEX2DEC($Q$18),HEX2DEC($R$18),HEX2DEC($S$18),HEX2DEC($T$18),HEX2DEC($U$18),HEX2DEC($V$18))</f>
        <v>0</v>
      </c>
      <c r="EX158" s="95" t="str">
        <f>IF(isNotAbleCollect(HEX2DEC($EV158),$EW158),"×","-")</f>
        <v>×</v>
      </c>
      <c r="EY158" s="96" t="str">
        <f>DEC2HEX(collectValue($ET158,HEX2DEC($EV158),HEX2DEC($EW158)),2)</f>
        <v>FF</v>
      </c>
    </row>
    <row r="159" spans="150:156" x14ac:dyDescent="0.15">
      <c r="ET159" s="93">
        <v>143</v>
      </c>
      <c r="EU159" s="94" t="str">
        <f>DEC2HEX($ET159,2)</f>
        <v>8F</v>
      </c>
      <c r="EV159" s="95" t="str">
        <f>DEC2HEX(syndrome($ET159,HEX2DEC($Y$33),HEX2DEC($Z$33),HEX2DEC($AA$33)),1)</f>
        <v>F</v>
      </c>
      <c r="EW159" s="95">
        <f>errpos(HEX2DEC($EV159),HEX2DEC($O$18),HEX2DEC($P$18),HEX2DEC($Q$18),HEX2DEC($R$18),HEX2DEC($S$18),HEX2DEC($T$18),HEX2DEC($U$18),HEX2DEC($V$18))</f>
        <v>4</v>
      </c>
      <c r="EX159" s="95" t="str">
        <f>IF(isNotAbleCollect(HEX2DEC($EV159),$EW159),"×","-")</f>
        <v>-</v>
      </c>
      <c r="EY159" s="96" t="str">
        <f>DEC2HEX(collectValue($ET159,HEX2DEC($EV159),HEX2DEC($EW159)),2)</f>
        <v>07</v>
      </c>
    </row>
    <row r="160" spans="150:156" x14ac:dyDescent="0.15">
      <c r="ET160" s="93">
        <v>144</v>
      </c>
      <c r="EU160" s="94" t="str">
        <f>DEC2HEX($ET160,2)</f>
        <v>90</v>
      </c>
      <c r="EV160" s="95" t="str">
        <f>DEC2HEX(syndrome($ET160,HEX2DEC($Y$33),HEX2DEC($Z$33),HEX2DEC($AA$33)),1)</f>
        <v>1</v>
      </c>
      <c r="EW160" s="95">
        <f>errpos(HEX2DEC($EV160),HEX2DEC($O$18),HEX2DEC($P$18),HEX2DEC($Q$18),HEX2DEC($R$18),HEX2DEC($S$18),HEX2DEC($T$18),HEX2DEC($U$18),HEX2DEC($V$18))</f>
        <v>0</v>
      </c>
      <c r="EX160" s="95" t="str">
        <f>IF(isNotAbleCollect(HEX2DEC($EV160),$EW160),"×","-")</f>
        <v>×</v>
      </c>
      <c r="EY160" s="96" t="str">
        <f>DEC2HEX(collectValue($ET160,HEX2DEC($EV160),HEX2DEC($EW160)),2)</f>
        <v>FF</v>
      </c>
    </row>
    <row r="161" spans="150:156" x14ac:dyDescent="0.15">
      <c r="ET161" s="93">
        <v>145</v>
      </c>
      <c r="EU161" s="94" t="str">
        <f>DEC2HEX($ET161,2)</f>
        <v>91</v>
      </c>
      <c r="EV161" s="95" t="str">
        <f>DEC2HEX(syndrome($ET161,HEX2DEC($Y$33),HEX2DEC($Z$33),HEX2DEC($AA$33)),1)</f>
        <v>A</v>
      </c>
      <c r="EW161" s="95">
        <f>errpos(HEX2DEC($EV161),HEX2DEC($O$18),HEX2DEC($P$18),HEX2DEC($Q$18),HEX2DEC($R$18),HEX2DEC($S$18),HEX2DEC($T$18),HEX2DEC($U$18),HEX2DEC($V$18))</f>
        <v>6</v>
      </c>
      <c r="EX161" s="95" t="str">
        <f>IF(isNotAbleCollect(HEX2DEC($EV161),$EW161),"×","-")</f>
        <v>-</v>
      </c>
      <c r="EY161" s="96" t="str">
        <f>DEC2HEX(collectValue($ET161,HEX2DEC($EV161),HEX2DEC($EW161)),2)</f>
        <v>01</v>
      </c>
    </row>
    <row r="162" spans="150:156" x14ac:dyDescent="0.15">
      <c r="ET162" s="93">
        <v>146</v>
      </c>
      <c r="EU162" s="94" t="str">
        <f>DEC2HEX($ET162,2)</f>
        <v>92</v>
      </c>
      <c r="EV162" s="95" t="str">
        <f>DEC2HEX(syndrome($ET162,HEX2DEC($Y$33),HEX2DEC($Z$33),HEX2DEC($AA$33)),1)</f>
        <v>F</v>
      </c>
      <c r="EW162" s="95">
        <f>errpos(HEX2DEC($EV162),HEX2DEC($O$18),HEX2DEC($P$18),HEX2DEC($Q$18),HEX2DEC($R$18),HEX2DEC($S$18),HEX2DEC($T$18),HEX2DEC($U$18),HEX2DEC($V$18))</f>
        <v>4</v>
      </c>
      <c r="EX162" s="95" t="str">
        <f>IF(isNotAbleCollect(HEX2DEC($EV162),$EW162),"×","-")</f>
        <v>-</v>
      </c>
      <c r="EY162" s="96" t="str">
        <f>DEC2HEX(collectValue($ET162,HEX2DEC($EV162),HEX2DEC($EW162)),2)</f>
        <v>0A</v>
      </c>
    </row>
    <row r="163" spans="150:156" x14ac:dyDescent="0.15">
      <c r="ET163" s="93">
        <v>147</v>
      </c>
      <c r="EU163" s="94" t="str">
        <f>DEC2HEX($ET163,2)</f>
        <v>93</v>
      </c>
      <c r="EV163" s="95" t="str">
        <f>DEC2HEX(syndrome($ET163,HEX2DEC($Y$33),HEX2DEC($Z$33),HEX2DEC($AA$33)),1)</f>
        <v>4</v>
      </c>
      <c r="EW163" s="95">
        <f>errpos(HEX2DEC($EV163),HEX2DEC($O$18),HEX2DEC($P$18),HEX2DEC($Q$18),HEX2DEC($R$18),HEX2DEC($S$18),HEX2DEC($T$18),HEX2DEC($U$18),HEX2DEC($V$18))</f>
        <v>0</v>
      </c>
      <c r="EX163" s="95" t="str">
        <f>IF(isNotAbleCollect(HEX2DEC($EV163),$EW163),"×","-")</f>
        <v>×</v>
      </c>
      <c r="EY163" s="96" t="str">
        <f>DEC2HEX(collectValue($ET163,HEX2DEC($EV163),HEX2DEC($EW163)),2)</f>
        <v>FF</v>
      </c>
    </row>
    <row r="164" spans="150:156" x14ac:dyDescent="0.15">
      <c r="ET164" s="93">
        <v>148</v>
      </c>
      <c r="EU164" s="94" t="str">
        <f>DEC2HEX($ET164,2)</f>
        <v>94</v>
      </c>
      <c r="EV164" s="95" t="str">
        <f>DEC2HEX(syndrome($ET164,HEX2DEC($Y$33),HEX2DEC($Z$33),HEX2DEC($AA$33)),1)</f>
        <v>C</v>
      </c>
      <c r="EW164" s="95">
        <f>errpos(HEX2DEC($EV164),HEX2DEC($O$18),HEX2DEC($P$18),HEX2DEC($Q$18),HEX2DEC($R$18),HEX2DEC($S$18),HEX2DEC($T$18),HEX2DEC($U$18),HEX2DEC($V$18))</f>
        <v>7</v>
      </c>
      <c r="EX164" s="95" t="str">
        <f>IF(isNotAbleCollect(HEX2DEC($EV164),$EW164),"×","-")</f>
        <v>-</v>
      </c>
      <c r="EY164" s="96" t="str">
        <f>DEC2HEX(collectValue($ET164,HEX2DEC($EV164),HEX2DEC($EW164)),2)</f>
        <v>04</v>
      </c>
    </row>
    <row r="165" spans="150:156" x14ac:dyDescent="0.15">
      <c r="ET165" s="93">
        <v>149</v>
      </c>
      <c r="EU165" s="94" t="str">
        <f>DEC2HEX($ET165,2)</f>
        <v>95</v>
      </c>
      <c r="EV165" s="95" t="str">
        <f>DEC2HEX(syndrome($ET165,HEX2DEC($Y$33),HEX2DEC($Z$33),HEX2DEC($AA$33)),1)</f>
        <v>7</v>
      </c>
      <c r="EW165" s="95">
        <f>errpos(HEX2DEC($EV165),HEX2DEC($O$18),HEX2DEC($P$18),HEX2DEC($Q$18),HEX2DEC($R$18),HEX2DEC($S$18),HEX2DEC($T$18),HEX2DEC($U$18),HEX2DEC($V$18))</f>
        <v>0</v>
      </c>
      <c r="EX165" s="95" t="str">
        <f>IF(isNotAbleCollect(HEX2DEC($EV165),$EW165),"×","-")</f>
        <v>×</v>
      </c>
      <c r="EY165" s="96" t="str">
        <f>DEC2HEX(collectValue($ET165,HEX2DEC($EV165),HEX2DEC($EW165)),2)</f>
        <v>FF</v>
      </c>
    </row>
    <row r="166" spans="150:156" x14ac:dyDescent="0.15">
      <c r="ET166" s="93">
        <v>150</v>
      </c>
      <c r="EU166" s="94" t="str">
        <f>DEC2HEX($ET166,2)</f>
        <v>96</v>
      </c>
      <c r="EV166" s="95" t="str">
        <f>DEC2HEX(syndrome($ET166,HEX2DEC($Y$33),HEX2DEC($Z$33),HEX2DEC($AA$33)),1)</f>
        <v>2</v>
      </c>
      <c r="EW166" s="95">
        <f>errpos(HEX2DEC($EV166),HEX2DEC($O$18),HEX2DEC($P$18),HEX2DEC($Q$18),HEX2DEC($R$18),HEX2DEC($S$18),HEX2DEC($T$18),HEX2DEC($U$18),HEX2DEC($V$18))</f>
        <v>0</v>
      </c>
      <c r="EX166" s="95" t="str">
        <f>IF(isNotAbleCollect(HEX2DEC($EV166),$EW166),"×","-")</f>
        <v>×</v>
      </c>
      <c r="EY166" s="96" t="str">
        <f>DEC2HEX(collectValue($ET166,HEX2DEC($EV166),HEX2DEC($EW166)),2)</f>
        <v>FF</v>
      </c>
    </row>
    <row r="167" spans="150:156" x14ac:dyDescent="0.15">
      <c r="ET167" s="93">
        <v>151</v>
      </c>
      <c r="EU167" s="94" t="str">
        <f>DEC2HEX($ET167,2)</f>
        <v>97</v>
      </c>
      <c r="EV167" s="95" t="str">
        <f>DEC2HEX(syndrome($ET167,HEX2DEC($Y$33),HEX2DEC($Z$33),HEX2DEC($AA$33)),1)</f>
        <v>9</v>
      </c>
      <c r="EW167" s="95">
        <f>errpos(HEX2DEC($EV167),HEX2DEC($O$18),HEX2DEC($P$18),HEX2DEC($Q$18),HEX2DEC($R$18),HEX2DEC($S$18),HEX2DEC($T$18),HEX2DEC($U$18),HEX2DEC($V$18))</f>
        <v>5</v>
      </c>
      <c r="EX167" s="95" t="str">
        <f>IF(isNotAbleCollect(HEX2DEC($EV167),$EW167),"×","-")</f>
        <v>-</v>
      </c>
      <c r="EY167" s="96" t="str">
        <f>DEC2HEX(collectValue($ET167,HEX2DEC($EV167),HEX2DEC($EW167)),2)</f>
        <v>07</v>
      </c>
    </row>
    <row r="168" spans="150:156" x14ac:dyDescent="0.15">
      <c r="ET168" s="93">
        <v>152</v>
      </c>
      <c r="EU168" s="94" t="str">
        <f>DEC2HEX($ET168,2)</f>
        <v>98</v>
      </c>
      <c r="EV168" s="95" t="str">
        <f>DEC2HEX(syndrome($ET168,HEX2DEC($Y$33),HEX2DEC($Z$33),HEX2DEC($AA$33)),1)</f>
        <v>E</v>
      </c>
      <c r="EW168" s="95">
        <f>errpos(HEX2DEC($EV168),HEX2DEC($O$18),HEX2DEC($P$18),HEX2DEC($Q$18),HEX2DEC($R$18),HEX2DEC($S$18),HEX2DEC($T$18),HEX2DEC($U$18),HEX2DEC($V$18))</f>
        <v>2</v>
      </c>
      <c r="EX168" s="95" t="str">
        <f>IF(isNotAbleCollect(HEX2DEC($EV168),$EW168),"×","-")</f>
        <v>-</v>
      </c>
      <c r="EY168" s="96" t="str">
        <f>DEC2HEX(collectValue($ET168,HEX2DEC($EV168),HEX2DEC($EW168)),2)</f>
        <v>0A</v>
      </c>
    </row>
    <row r="169" spans="150:156" x14ac:dyDescent="0.15">
      <c r="ET169" s="93">
        <v>153</v>
      </c>
      <c r="EU169" s="94" t="str">
        <f>DEC2HEX($ET169,2)</f>
        <v>99</v>
      </c>
      <c r="EV169" s="95" t="str">
        <f>DEC2HEX(syndrome($ET169,HEX2DEC($Y$33),HEX2DEC($Z$33),HEX2DEC($AA$33)),1)</f>
        <v>5</v>
      </c>
      <c r="EW169" s="95">
        <f>errpos(HEX2DEC($EV169),HEX2DEC($O$18),HEX2DEC($P$18),HEX2DEC($Q$18),HEX2DEC($R$18),HEX2DEC($S$18),HEX2DEC($T$18),HEX2DEC($U$18),HEX2DEC($V$18))</f>
        <v>0</v>
      </c>
      <c r="EX169" s="95" t="str">
        <f>IF(isNotAbleCollect(HEX2DEC($EV169),$EW169),"×","-")</f>
        <v>×</v>
      </c>
      <c r="EY169" s="96" t="str">
        <f>DEC2HEX(collectValue($ET169,HEX2DEC($EV169),HEX2DEC($EW169)),2)</f>
        <v>FF</v>
      </c>
    </row>
    <row r="170" spans="150:156" x14ac:dyDescent="0.15">
      <c r="ET170" s="93">
        <v>154</v>
      </c>
      <c r="EU170" s="94" t="str">
        <f>DEC2HEX($ET170,2)</f>
        <v>9A</v>
      </c>
      <c r="EV170" s="95" t="str">
        <f>DEC2HEX(syndrome($ET170,HEX2DEC($Y$33),HEX2DEC($Z$33),HEX2DEC($AA$33)),1)</f>
        <v>0</v>
      </c>
      <c r="EW170" s="95">
        <f>errpos(HEX2DEC($EV170),HEX2DEC($O$18),HEX2DEC($P$18),HEX2DEC($Q$18),HEX2DEC($R$18),HEX2DEC($S$18),HEX2DEC($T$18),HEX2DEC($U$18),HEX2DEC($V$18))</f>
        <v>0</v>
      </c>
      <c r="EX170" s="95" t="str">
        <f>IF(isNotAbleCollect(HEX2DEC($EV170),$EW170),"×","-")</f>
        <v>-</v>
      </c>
      <c r="EY170" s="96" t="str">
        <f>DEC2HEX(collectValue($ET170,HEX2DEC($EV170),HEX2DEC($EW170)),2)</f>
        <v>0A</v>
      </c>
      <c r="EZ170" s="90">
        <v>10</v>
      </c>
    </row>
    <row r="171" spans="150:156" x14ac:dyDescent="0.15">
      <c r="ET171" s="93">
        <v>155</v>
      </c>
      <c r="EU171" s="94" t="str">
        <f>DEC2HEX($ET171,2)</f>
        <v>9B</v>
      </c>
      <c r="EV171" s="95" t="str">
        <f>DEC2HEX(syndrome($ET171,HEX2DEC($Y$33),HEX2DEC($Z$33),HEX2DEC($AA$33)),1)</f>
        <v>B</v>
      </c>
      <c r="EW171" s="95">
        <f>errpos(HEX2DEC($EV171),HEX2DEC($O$18),HEX2DEC($P$18),HEX2DEC($Q$18),HEX2DEC($R$18),HEX2DEC($S$18),HEX2DEC($T$18),HEX2DEC($U$18),HEX2DEC($V$18))</f>
        <v>1</v>
      </c>
      <c r="EX171" s="95" t="str">
        <f>IF(isNotAbleCollect(HEX2DEC($EV171),$EW171),"×","-")</f>
        <v>-</v>
      </c>
      <c r="EY171" s="96" t="str">
        <f>DEC2HEX(collectValue($ET171,HEX2DEC($EV171),HEX2DEC($EW171)),2)</f>
        <v>0A</v>
      </c>
    </row>
    <row r="172" spans="150:156" x14ac:dyDescent="0.15">
      <c r="ET172" s="93">
        <v>156</v>
      </c>
      <c r="EU172" s="94" t="str">
        <f>DEC2HEX($ET172,2)</f>
        <v>9C</v>
      </c>
      <c r="EV172" s="95" t="str">
        <f>DEC2HEX(syndrome($ET172,HEX2DEC($Y$33),HEX2DEC($Z$33),HEX2DEC($AA$33)),1)</f>
        <v>3</v>
      </c>
      <c r="EW172" s="95">
        <f>errpos(HEX2DEC($EV172),HEX2DEC($O$18),HEX2DEC($P$18),HEX2DEC($Q$18),HEX2DEC($R$18),HEX2DEC($S$18),HEX2DEC($T$18),HEX2DEC($U$18),HEX2DEC($V$18))</f>
        <v>0</v>
      </c>
      <c r="EX172" s="95" t="str">
        <f>IF(isNotAbleCollect(HEX2DEC($EV172),$EW172),"×","-")</f>
        <v>×</v>
      </c>
      <c r="EY172" s="96" t="str">
        <f>DEC2HEX(collectValue($ET172,HEX2DEC($EV172),HEX2DEC($EW172)),2)</f>
        <v>FF</v>
      </c>
    </row>
    <row r="173" spans="150:156" x14ac:dyDescent="0.15">
      <c r="ET173" s="93">
        <v>157</v>
      </c>
      <c r="EU173" s="94" t="str">
        <f>DEC2HEX($ET173,2)</f>
        <v>9D</v>
      </c>
      <c r="EV173" s="95" t="str">
        <f>DEC2HEX(syndrome($ET173,HEX2DEC($Y$33),HEX2DEC($Z$33),HEX2DEC($AA$33)),1)</f>
        <v>8</v>
      </c>
      <c r="EW173" s="95">
        <f>errpos(HEX2DEC($EV173),HEX2DEC($O$18),HEX2DEC($P$18),HEX2DEC($Q$18),HEX2DEC($R$18),HEX2DEC($S$18),HEX2DEC($T$18),HEX2DEC($U$18),HEX2DEC($V$18))</f>
        <v>8</v>
      </c>
      <c r="EX173" s="95" t="str">
        <f>IF(isNotAbleCollect(HEX2DEC($EV173),$EW173),"×","-")</f>
        <v>-</v>
      </c>
      <c r="EY173" s="96" t="str">
        <f>DEC2HEX(collectValue($ET173,HEX2DEC($EV173),HEX2DEC($EW173)),2)</f>
        <v>0D</v>
      </c>
    </row>
    <row r="174" spans="150:156" x14ac:dyDescent="0.15">
      <c r="ET174" s="93">
        <v>158</v>
      </c>
      <c r="EU174" s="94" t="str">
        <f>DEC2HEX($ET174,2)</f>
        <v>9E</v>
      </c>
      <c r="EV174" s="95" t="str">
        <f>DEC2HEX(syndrome($ET174,HEX2DEC($Y$33),HEX2DEC($Z$33),HEX2DEC($AA$33)),1)</f>
        <v>D</v>
      </c>
      <c r="EW174" s="95">
        <f>errpos(HEX2DEC($EV174),HEX2DEC($O$18),HEX2DEC($P$18),HEX2DEC($Q$18),HEX2DEC($R$18),HEX2DEC($S$18),HEX2DEC($T$18),HEX2DEC($U$18),HEX2DEC($V$18))</f>
        <v>3</v>
      </c>
      <c r="EX174" s="95" t="str">
        <f>IF(isNotAbleCollect(HEX2DEC($EV174),$EW174),"×","-")</f>
        <v>-</v>
      </c>
      <c r="EY174" s="96" t="str">
        <f>DEC2HEX(collectValue($ET174,HEX2DEC($EV174),HEX2DEC($EW174)),2)</f>
        <v>0A</v>
      </c>
    </row>
    <row r="175" spans="150:156" x14ac:dyDescent="0.15">
      <c r="ET175" s="93">
        <v>159</v>
      </c>
      <c r="EU175" s="94" t="str">
        <f>DEC2HEX($ET175,2)</f>
        <v>9F</v>
      </c>
      <c r="EV175" s="95" t="str">
        <f>DEC2HEX(syndrome($ET175,HEX2DEC($Y$33),HEX2DEC($Z$33),HEX2DEC($AA$33)),1)</f>
        <v>6</v>
      </c>
      <c r="EW175" s="95">
        <f>errpos(HEX2DEC($EV175),HEX2DEC($O$18),HEX2DEC($P$18),HEX2DEC($Q$18),HEX2DEC($R$18),HEX2DEC($S$18),HEX2DEC($T$18),HEX2DEC($U$18),HEX2DEC($V$18))</f>
        <v>0</v>
      </c>
      <c r="EX175" s="95" t="str">
        <f>IF(isNotAbleCollect(HEX2DEC($EV175),$EW175),"×","-")</f>
        <v>×</v>
      </c>
      <c r="EY175" s="96" t="str">
        <f>DEC2HEX(collectValue($ET175,HEX2DEC($EV175),HEX2DEC($EW175)),2)</f>
        <v>FF</v>
      </c>
    </row>
    <row r="176" spans="150:156" x14ac:dyDescent="0.15">
      <c r="ET176" s="93">
        <v>160</v>
      </c>
      <c r="EU176" s="94" t="str">
        <f>DEC2HEX($ET176,2)</f>
        <v>A0</v>
      </c>
      <c r="EV176" s="95" t="str">
        <f>DEC2HEX(syndrome($ET176,HEX2DEC($Y$33),HEX2DEC($Z$33),HEX2DEC($AA$33)),1)</f>
        <v>2</v>
      </c>
      <c r="EW176" s="95">
        <f>errpos(HEX2DEC($EV176),HEX2DEC($O$18),HEX2DEC($P$18),HEX2DEC($Q$18),HEX2DEC($R$18),HEX2DEC($S$18),HEX2DEC($T$18),HEX2DEC($U$18),HEX2DEC($V$18))</f>
        <v>0</v>
      </c>
      <c r="EX176" s="95" t="str">
        <f>IF(isNotAbleCollect(HEX2DEC($EV176),$EW176),"×","-")</f>
        <v>×</v>
      </c>
      <c r="EY176" s="96" t="str">
        <f>DEC2HEX(collectValue($ET176,HEX2DEC($EV176),HEX2DEC($EW176)),2)</f>
        <v>FF</v>
      </c>
    </row>
    <row r="177" spans="150:156" x14ac:dyDescent="0.15">
      <c r="ET177" s="93">
        <v>161</v>
      </c>
      <c r="EU177" s="94" t="str">
        <f>DEC2HEX($ET177,2)</f>
        <v>A1</v>
      </c>
      <c r="EV177" s="95" t="str">
        <f>DEC2HEX(syndrome($ET177,HEX2DEC($Y$33),HEX2DEC($Z$33),HEX2DEC($AA$33)),1)</f>
        <v>9</v>
      </c>
      <c r="EW177" s="95">
        <f>errpos(HEX2DEC($EV177),HEX2DEC($O$18),HEX2DEC($P$18),HEX2DEC($Q$18),HEX2DEC($R$18),HEX2DEC($S$18),HEX2DEC($T$18),HEX2DEC($U$18),HEX2DEC($V$18))</f>
        <v>5</v>
      </c>
      <c r="EX177" s="95" t="str">
        <f>IF(isNotAbleCollect(HEX2DEC($EV177),$EW177),"×","-")</f>
        <v>-</v>
      </c>
      <c r="EY177" s="96" t="str">
        <f>DEC2HEX(collectValue($ET177,HEX2DEC($EV177),HEX2DEC($EW177)),2)</f>
        <v>01</v>
      </c>
    </row>
    <row r="178" spans="150:156" x14ac:dyDescent="0.15">
      <c r="ET178" s="93">
        <v>162</v>
      </c>
      <c r="EU178" s="94" t="str">
        <f>DEC2HEX($ET178,2)</f>
        <v>A2</v>
      </c>
      <c r="EV178" s="95" t="str">
        <f>DEC2HEX(syndrome($ET178,HEX2DEC($Y$33),HEX2DEC($Z$33),HEX2DEC($AA$33)),1)</f>
        <v>C</v>
      </c>
      <c r="EW178" s="95">
        <f>errpos(HEX2DEC($EV178),HEX2DEC($O$18),HEX2DEC($P$18),HEX2DEC($Q$18),HEX2DEC($R$18),HEX2DEC($S$18),HEX2DEC($T$18),HEX2DEC($U$18),HEX2DEC($V$18))</f>
        <v>7</v>
      </c>
      <c r="EX178" s="95" t="str">
        <f>IF(isNotAbleCollect(HEX2DEC($EV178),$EW178),"×","-")</f>
        <v>-</v>
      </c>
      <c r="EY178" s="96" t="str">
        <f>DEC2HEX(collectValue($ET178,HEX2DEC($EV178),HEX2DEC($EW178)),2)</f>
        <v>02</v>
      </c>
    </row>
    <row r="179" spans="150:156" x14ac:dyDescent="0.15">
      <c r="ET179" s="93">
        <v>163</v>
      </c>
      <c r="EU179" s="94" t="str">
        <f>DEC2HEX($ET179,2)</f>
        <v>A3</v>
      </c>
      <c r="EV179" s="95" t="str">
        <f>DEC2HEX(syndrome($ET179,HEX2DEC($Y$33),HEX2DEC($Z$33),HEX2DEC($AA$33)),1)</f>
        <v>7</v>
      </c>
      <c r="EW179" s="95">
        <f>errpos(HEX2DEC($EV179),HEX2DEC($O$18),HEX2DEC($P$18),HEX2DEC($Q$18),HEX2DEC($R$18),HEX2DEC($S$18),HEX2DEC($T$18),HEX2DEC($U$18),HEX2DEC($V$18))</f>
        <v>0</v>
      </c>
      <c r="EX179" s="95" t="str">
        <f>IF(isNotAbleCollect(HEX2DEC($EV179),$EW179),"×","-")</f>
        <v>×</v>
      </c>
      <c r="EY179" s="96" t="str">
        <f>DEC2HEX(collectValue($ET179,HEX2DEC($EV179),HEX2DEC($EW179)),2)</f>
        <v>FF</v>
      </c>
    </row>
    <row r="180" spans="150:156" x14ac:dyDescent="0.15">
      <c r="ET180" s="93">
        <v>164</v>
      </c>
      <c r="EU180" s="94" t="str">
        <f>DEC2HEX($ET180,2)</f>
        <v>A4</v>
      </c>
      <c r="EV180" s="95" t="str">
        <f>DEC2HEX(syndrome($ET180,HEX2DEC($Y$33),HEX2DEC($Z$33),HEX2DEC($AA$33)),1)</f>
        <v>F</v>
      </c>
      <c r="EW180" s="95">
        <f>errpos(HEX2DEC($EV180),HEX2DEC($O$18),HEX2DEC($P$18),HEX2DEC($Q$18),HEX2DEC($R$18),HEX2DEC($S$18),HEX2DEC($T$18),HEX2DEC($U$18),HEX2DEC($V$18))</f>
        <v>4</v>
      </c>
      <c r="EX180" s="95" t="str">
        <f>IF(isNotAbleCollect(HEX2DEC($EV180),$EW180),"×","-")</f>
        <v>-</v>
      </c>
      <c r="EY180" s="96" t="str">
        <f>DEC2HEX(collectValue($ET180,HEX2DEC($EV180),HEX2DEC($EW180)),2)</f>
        <v>0C</v>
      </c>
    </row>
    <row r="181" spans="150:156" x14ac:dyDescent="0.15">
      <c r="ET181" s="93">
        <v>165</v>
      </c>
      <c r="EU181" s="94" t="str">
        <f>DEC2HEX($ET181,2)</f>
        <v>A5</v>
      </c>
      <c r="EV181" s="95" t="str">
        <f>DEC2HEX(syndrome($ET181,HEX2DEC($Y$33),HEX2DEC($Z$33),HEX2DEC($AA$33)),1)</f>
        <v>4</v>
      </c>
      <c r="EW181" s="95">
        <f>errpos(HEX2DEC($EV181),HEX2DEC($O$18),HEX2DEC($P$18),HEX2DEC($Q$18),HEX2DEC($R$18),HEX2DEC($S$18),HEX2DEC($T$18),HEX2DEC($U$18),HEX2DEC($V$18))</f>
        <v>0</v>
      </c>
      <c r="EX181" s="95" t="str">
        <f>IF(isNotAbleCollect(HEX2DEC($EV181),$EW181),"×","-")</f>
        <v>×</v>
      </c>
      <c r="EY181" s="96" t="str">
        <f>DEC2HEX(collectValue($ET181,HEX2DEC($EV181),HEX2DEC($EW181)),2)</f>
        <v>FF</v>
      </c>
    </row>
    <row r="182" spans="150:156" x14ac:dyDescent="0.15">
      <c r="ET182" s="93">
        <v>166</v>
      </c>
      <c r="EU182" s="94" t="str">
        <f>DEC2HEX($ET182,2)</f>
        <v>A6</v>
      </c>
      <c r="EV182" s="95" t="str">
        <f>DEC2HEX(syndrome($ET182,HEX2DEC($Y$33),HEX2DEC($Z$33),HEX2DEC($AA$33)),1)</f>
        <v>1</v>
      </c>
      <c r="EW182" s="95">
        <f>errpos(HEX2DEC($EV182),HEX2DEC($O$18),HEX2DEC($P$18),HEX2DEC($Q$18),HEX2DEC($R$18),HEX2DEC($S$18),HEX2DEC($T$18),HEX2DEC($U$18),HEX2DEC($V$18))</f>
        <v>0</v>
      </c>
      <c r="EX182" s="95" t="str">
        <f>IF(isNotAbleCollect(HEX2DEC($EV182),$EW182),"×","-")</f>
        <v>×</v>
      </c>
      <c r="EY182" s="96" t="str">
        <f>DEC2HEX(collectValue($ET182,HEX2DEC($EV182),HEX2DEC($EW182)),2)</f>
        <v>FF</v>
      </c>
    </row>
    <row r="183" spans="150:156" x14ac:dyDescent="0.15">
      <c r="ET183" s="93">
        <v>167</v>
      </c>
      <c r="EU183" s="94" t="str">
        <f>DEC2HEX($ET183,2)</f>
        <v>A7</v>
      </c>
      <c r="EV183" s="95" t="str">
        <f>DEC2HEX(syndrome($ET183,HEX2DEC($Y$33),HEX2DEC($Z$33),HEX2DEC($AA$33)),1)</f>
        <v>A</v>
      </c>
      <c r="EW183" s="95">
        <f>errpos(HEX2DEC($EV183),HEX2DEC($O$18),HEX2DEC($P$18),HEX2DEC($Q$18),HEX2DEC($R$18),HEX2DEC($S$18),HEX2DEC($T$18),HEX2DEC($U$18),HEX2DEC($V$18))</f>
        <v>6</v>
      </c>
      <c r="EX183" s="95" t="str">
        <f>IF(isNotAbleCollect(HEX2DEC($EV183),$EW183),"×","-")</f>
        <v>-</v>
      </c>
      <c r="EY183" s="96" t="str">
        <f>DEC2HEX(collectValue($ET183,HEX2DEC($EV183),HEX2DEC($EW183)),2)</f>
        <v>07</v>
      </c>
    </row>
    <row r="184" spans="150:156" x14ac:dyDescent="0.15">
      <c r="ET184" s="93">
        <v>168</v>
      </c>
      <c r="EU184" s="94" t="str">
        <f>DEC2HEX($ET184,2)</f>
        <v>A8</v>
      </c>
      <c r="EV184" s="95" t="str">
        <f>DEC2HEX(syndrome($ET184,HEX2DEC($Y$33),HEX2DEC($Z$33),HEX2DEC($AA$33)),1)</f>
        <v>D</v>
      </c>
      <c r="EW184" s="95">
        <f>errpos(HEX2DEC($EV184),HEX2DEC($O$18),HEX2DEC($P$18),HEX2DEC($Q$18),HEX2DEC($R$18),HEX2DEC($S$18),HEX2DEC($T$18),HEX2DEC($U$18),HEX2DEC($V$18))</f>
        <v>3</v>
      </c>
      <c r="EX184" s="95" t="str">
        <f>IF(isNotAbleCollect(HEX2DEC($EV184),$EW184),"×","-")</f>
        <v>-</v>
      </c>
      <c r="EY184" s="96" t="str">
        <f>DEC2HEX(collectValue($ET184,HEX2DEC($EV184),HEX2DEC($EW184)),2)</f>
        <v>0C</v>
      </c>
    </row>
    <row r="185" spans="150:156" x14ac:dyDescent="0.15">
      <c r="ET185" s="93">
        <v>169</v>
      </c>
      <c r="EU185" s="94" t="str">
        <f>DEC2HEX($ET185,2)</f>
        <v>A9</v>
      </c>
      <c r="EV185" s="95" t="str">
        <f>DEC2HEX(syndrome($ET185,HEX2DEC($Y$33),HEX2DEC($Z$33),HEX2DEC($AA$33)),1)</f>
        <v>6</v>
      </c>
      <c r="EW185" s="95">
        <f>errpos(HEX2DEC($EV185),HEX2DEC($O$18),HEX2DEC($P$18),HEX2DEC($Q$18),HEX2DEC($R$18),HEX2DEC($S$18),HEX2DEC($T$18),HEX2DEC($U$18),HEX2DEC($V$18))</f>
        <v>0</v>
      </c>
      <c r="EX185" s="95" t="str">
        <f>IF(isNotAbleCollect(HEX2DEC($EV185),$EW185),"×","-")</f>
        <v>×</v>
      </c>
      <c r="EY185" s="96" t="str">
        <f>DEC2HEX(collectValue($ET185,HEX2DEC($EV185),HEX2DEC($EW185)),2)</f>
        <v>FF</v>
      </c>
    </row>
    <row r="186" spans="150:156" x14ac:dyDescent="0.15">
      <c r="ET186" s="93">
        <v>170</v>
      </c>
      <c r="EU186" s="94" t="str">
        <f>DEC2HEX($ET186,2)</f>
        <v>AA</v>
      </c>
      <c r="EV186" s="95" t="str">
        <f>DEC2HEX(syndrome($ET186,HEX2DEC($Y$33),HEX2DEC($Z$33),HEX2DEC($AA$33)),1)</f>
        <v>3</v>
      </c>
      <c r="EW186" s="95">
        <f>errpos(HEX2DEC($EV186),HEX2DEC($O$18),HEX2DEC($P$18),HEX2DEC($Q$18),HEX2DEC($R$18),HEX2DEC($S$18),HEX2DEC($T$18),HEX2DEC($U$18),HEX2DEC($V$18))</f>
        <v>0</v>
      </c>
      <c r="EX186" s="95" t="str">
        <f>IF(isNotAbleCollect(HEX2DEC($EV186),$EW186),"×","-")</f>
        <v>×</v>
      </c>
      <c r="EY186" s="96" t="str">
        <f>DEC2HEX(collectValue($ET186,HEX2DEC($EV186),HEX2DEC($EW186)),2)</f>
        <v>FF</v>
      </c>
    </row>
    <row r="187" spans="150:156" x14ac:dyDescent="0.15">
      <c r="ET187" s="93">
        <v>171</v>
      </c>
      <c r="EU187" s="94" t="str">
        <f>DEC2HEX($ET187,2)</f>
        <v>AB</v>
      </c>
      <c r="EV187" s="95" t="str">
        <f>DEC2HEX(syndrome($ET187,HEX2DEC($Y$33),HEX2DEC($Z$33),HEX2DEC($AA$33)),1)</f>
        <v>8</v>
      </c>
      <c r="EW187" s="95">
        <f>errpos(HEX2DEC($EV187),HEX2DEC($O$18),HEX2DEC($P$18),HEX2DEC($Q$18),HEX2DEC($R$18),HEX2DEC($S$18),HEX2DEC($T$18),HEX2DEC($U$18),HEX2DEC($V$18))</f>
        <v>8</v>
      </c>
      <c r="EX187" s="95" t="str">
        <f>IF(isNotAbleCollect(HEX2DEC($EV187),$EW187),"×","-")</f>
        <v>-</v>
      </c>
      <c r="EY187" s="96" t="str">
        <f>DEC2HEX(collectValue($ET187,HEX2DEC($EV187),HEX2DEC($EW187)),2)</f>
        <v>0B</v>
      </c>
    </row>
    <row r="188" spans="150:156" x14ac:dyDescent="0.15">
      <c r="ET188" s="93">
        <v>172</v>
      </c>
      <c r="EU188" s="94" t="str">
        <f>DEC2HEX($ET188,2)</f>
        <v>AC</v>
      </c>
      <c r="EV188" s="95" t="str">
        <f>DEC2HEX(syndrome($ET188,HEX2DEC($Y$33),HEX2DEC($Z$33),HEX2DEC($AA$33)),1)</f>
        <v>0</v>
      </c>
      <c r="EW188" s="95">
        <f>errpos(HEX2DEC($EV188),HEX2DEC($O$18),HEX2DEC($P$18),HEX2DEC($Q$18),HEX2DEC($R$18),HEX2DEC($S$18),HEX2DEC($T$18),HEX2DEC($U$18),HEX2DEC($V$18))</f>
        <v>0</v>
      </c>
      <c r="EX188" s="95" t="str">
        <f>IF(isNotAbleCollect(HEX2DEC($EV188),$EW188),"×","-")</f>
        <v>-</v>
      </c>
      <c r="EY188" s="96" t="str">
        <f>DEC2HEX(collectValue($ET188,HEX2DEC($EV188),HEX2DEC($EW188)),2)</f>
        <v>0C</v>
      </c>
      <c r="EZ188" s="90">
        <v>11</v>
      </c>
    </row>
    <row r="189" spans="150:156" x14ac:dyDescent="0.15">
      <c r="ET189" s="93">
        <v>173</v>
      </c>
      <c r="EU189" s="94" t="str">
        <f>DEC2HEX($ET189,2)</f>
        <v>AD</v>
      </c>
      <c r="EV189" s="95" t="str">
        <f>DEC2HEX(syndrome($ET189,HEX2DEC($Y$33),HEX2DEC($Z$33),HEX2DEC($AA$33)),1)</f>
        <v>B</v>
      </c>
      <c r="EW189" s="95">
        <f>errpos(HEX2DEC($EV189),HEX2DEC($O$18),HEX2DEC($P$18),HEX2DEC($Q$18),HEX2DEC($R$18),HEX2DEC($S$18),HEX2DEC($T$18),HEX2DEC($U$18),HEX2DEC($V$18))</f>
        <v>1</v>
      </c>
      <c r="EX189" s="95" t="str">
        <f>IF(isNotAbleCollect(HEX2DEC($EV189),$EW189),"×","-")</f>
        <v>-</v>
      </c>
      <c r="EY189" s="96" t="str">
        <f>DEC2HEX(collectValue($ET189,HEX2DEC($EV189),HEX2DEC($EW189)),2)</f>
        <v>0C</v>
      </c>
    </row>
    <row r="190" spans="150:156" x14ac:dyDescent="0.15">
      <c r="ET190" s="93">
        <v>174</v>
      </c>
      <c r="EU190" s="94" t="str">
        <f>DEC2HEX($ET190,2)</f>
        <v>AE</v>
      </c>
      <c r="EV190" s="95" t="str">
        <f>DEC2HEX(syndrome($ET190,HEX2DEC($Y$33),HEX2DEC($Z$33),HEX2DEC($AA$33)),1)</f>
        <v>E</v>
      </c>
      <c r="EW190" s="95">
        <f>errpos(HEX2DEC($EV190),HEX2DEC($O$18),HEX2DEC($P$18),HEX2DEC($Q$18),HEX2DEC($R$18),HEX2DEC($S$18),HEX2DEC($T$18),HEX2DEC($U$18),HEX2DEC($V$18))</f>
        <v>2</v>
      </c>
      <c r="EX190" s="95" t="str">
        <f>IF(isNotAbleCollect(HEX2DEC($EV190),$EW190),"×","-")</f>
        <v>-</v>
      </c>
      <c r="EY190" s="96" t="str">
        <f>DEC2HEX(collectValue($ET190,HEX2DEC($EV190),HEX2DEC($EW190)),2)</f>
        <v>0C</v>
      </c>
    </row>
    <row r="191" spans="150:156" x14ac:dyDescent="0.15">
      <c r="ET191" s="93">
        <v>175</v>
      </c>
      <c r="EU191" s="94" t="str">
        <f>DEC2HEX($ET191,2)</f>
        <v>AF</v>
      </c>
      <c r="EV191" s="95" t="str">
        <f>DEC2HEX(syndrome($ET191,HEX2DEC($Y$33),HEX2DEC($Z$33),HEX2DEC($AA$33)),1)</f>
        <v>5</v>
      </c>
      <c r="EW191" s="95">
        <f>errpos(HEX2DEC($EV191),HEX2DEC($O$18),HEX2DEC($P$18),HEX2DEC($Q$18),HEX2DEC($R$18),HEX2DEC($S$18),HEX2DEC($T$18),HEX2DEC($U$18),HEX2DEC($V$18))</f>
        <v>0</v>
      </c>
      <c r="EX191" s="95" t="str">
        <f>IF(isNotAbleCollect(HEX2DEC($EV191),$EW191),"×","-")</f>
        <v>×</v>
      </c>
      <c r="EY191" s="96" t="str">
        <f>DEC2HEX(collectValue($ET191,HEX2DEC($EV191),HEX2DEC($EW191)),2)</f>
        <v>FF</v>
      </c>
    </row>
    <row r="192" spans="150:156" x14ac:dyDescent="0.15">
      <c r="ET192" s="93">
        <v>176</v>
      </c>
      <c r="EU192" s="94" t="str">
        <f>DEC2HEX($ET192,2)</f>
        <v>B0</v>
      </c>
      <c r="EV192" s="95" t="str">
        <f>DEC2HEX(syndrome($ET192,HEX2DEC($Y$33),HEX2DEC($Z$33),HEX2DEC($AA$33)),1)</f>
        <v>B</v>
      </c>
      <c r="EW192" s="95">
        <f>errpos(HEX2DEC($EV192),HEX2DEC($O$18),HEX2DEC($P$18),HEX2DEC($Q$18),HEX2DEC($R$18),HEX2DEC($S$18),HEX2DEC($T$18),HEX2DEC($U$18),HEX2DEC($V$18))</f>
        <v>1</v>
      </c>
      <c r="EX192" s="95" t="str">
        <f>IF(isNotAbleCollect(HEX2DEC($EV192),$EW192),"×","-")</f>
        <v>-</v>
      </c>
      <c r="EY192" s="96" t="str">
        <f>DEC2HEX(collectValue($ET192,HEX2DEC($EV192),HEX2DEC($EW192)),2)</f>
        <v>01</v>
      </c>
    </row>
    <row r="193" spans="150:156" x14ac:dyDescent="0.15">
      <c r="ET193" s="93">
        <v>177</v>
      </c>
      <c r="EU193" s="94" t="str">
        <f>DEC2HEX($ET193,2)</f>
        <v>B1</v>
      </c>
      <c r="EV193" s="95" t="str">
        <f>DEC2HEX(syndrome($ET193,HEX2DEC($Y$33),HEX2DEC($Z$33),HEX2DEC($AA$33)),1)</f>
        <v>0</v>
      </c>
      <c r="EW193" s="95">
        <f>errpos(HEX2DEC($EV193),HEX2DEC($O$18),HEX2DEC($P$18),HEX2DEC($Q$18),HEX2DEC($R$18),HEX2DEC($S$18),HEX2DEC($T$18),HEX2DEC($U$18),HEX2DEC($V$18))</f>
        <v>0</v>
      </c>
      <c r="EX193" s="95" t="str">
        <f>IF(isNotAbleCollect(HEX2DEC($EV193),$EW193),"×","-")</f>
        <v>-</v>
      </c>
      <c r="EY193" s="96" t="str">
        <f>DEC2HEX(collectValue($ET193,HEX2DEC($EV193),HEX2DEC($EW193)),2)</f>
        <v>01</v>
      </c>
      <c r="EZ193" s="90">
        <v>12</v>
      </c>
    </row>
    <row r="194" spans="150:156" x14ac:dyDescent="0.15">
      <c r="ET194" s="93">
        <v>178</v>
      </c>
      <c r="EU194" s="94" t="str">
        <f>DEC2HEX($ET194,2)</f>
        <v>B2</v>
      </c>
      <c r="EV194" s="95" t="str">
        <f>DEC2HEX(syndrome($ET194,HEX2DEC($Y$33),HEX2DEC($Z$33),HEX2DEC($AA$33)),1)</f>
        <v>5</v>
      </c>
      <c r="EW194" s="95">
        <f>errpos(HEX2DEC($EV194),HEX2DEC($O$18),HEX2DEC($P$18),HEX2DEC($Q$18),HEX2DEC($R$18),HEX2DEC($S$18),HEX2DEC($T$18),HEX2DEC($U$18),HEX2DEC($V$18))</f>
        <v>0</v>
      </c>
      <c r="EX194" s="95" t="str">
        <f>IF(isNotAbleCollect(HEX2DEC($EV194),$EW194),"×","-")</f>
        <v>×</v>
      </c>
      <c r="EY194" s="96" t="str">
        <f>DEC2HEX(collectValue($ET194,HEX2DEC($EV194),HEX2DEC($EW194)),2)</f>
        <v>FF</v>
      </c>
    </row>
    <row r="195" spans="150:156" x14ac:dyDescent="0.15">
      <c r="ET195" s="93">
        <v>179</v>
      </c>
      <c r="EU195" s="94" t="str">
        <f>DEC2HEX($ET195,2)</f>
        <v>B3</v>
      </c>
      <c r="EV195" s="95" t="str">
        <f>DEC2HEX(syndrome($ET195,HEX2DEC($Y$33),HEX2DEC($Z$33),HEX2DEC($AA$33)),1)</f>
        <v>E</v>
      </c>
      <c r="EW195" s="95">
        <f>errpos(HEX2DEC($EV195),HEX2DEC($O$18),HEX2DEC($P$18),HEX2DEC($Q$18),HEX2DEC($R$18),HEX2DEC($S$18),HEX2DEC($T$18),HEX2DEC($U$18),HEX2DEC($V$18))</f>
        <v>2</v>
      </c>
      <c r="EX195" s="95" t="str">
        <f>IF(isNotAbleCollect(HEX2DEC($EV195),$EW195),"×","-")</f>
        <v>-</v>
      </c>
      <c r="EY195" s="96" t="str">
        <f>DEC2HEX(collectValue($ET195,HEX2DEC($EV195),HEX2DEC($EW195)),2)</f>
        <v>01</v>
      </c>
    </row>
    <row r="196" spans="150:156" x14ac:dyDescent="0.15">
      <c r="ET196" s="93">
        <v>180</v>
      </c>
      <c r="EU196" s="94" t="str">
        <f>DEC2HEX($ET196,2)</f>
        <v>B4</v>
      </c>
      <c r="EV196" s="95" t="str">
        <f>DEC2HEX(syndrome($ET196,HEX2DEC($Y$33),HEX2DEC($Z$33),HEX2DEC($AA$33)),1)</f>
        <v>6</v>
      </c>
      <c r="EW196" s="95">
        <f>errpos(HEX2DEC($EV196),HEX2DEC($O$18),HEX2DEC($P$18),HEX2DEC($Q$18),HEX2DEC($R$18),HEX2DEC($S$18),HEX2DEC($T$18),HEX2DEC($U$18),HEX2DEC($V$18))</f>
        <v>0</v>
      </c>
      <c r="EX196" s="95" t="str">
        <f>IF(isNotAbleCollect(HEX2DEC($EV196),$EW196),"×","-")</f>
        <v>×</v>
      </c>
      <c r="EY196" s="96" t="str">
        <f>DEC2HEX(collectValue($ET196,HEX2DEC($EV196),HEX2DEC($EW196)),2)</f>
        <v>FF</v>
      </c>
    </row>
    <row r="197" spans="150:156" x14ac:dyDescent="0.15">
      <c r="ET197" s="93">
        <v>181</v>
      </c>
      <c r="EU197" s="94" t="str">
        <f>DEC2HEX($ET197,2)</f>
        <v>B5</v>
      </c>
      <c r="EV197" s="95" t="str">
        <f>DEC2HEX(syndrome($ET197,HEX2DEC($Y$33),HEX2DEC($Z$33),HEX2DEC($AA$33)),1)</f>
        <v>D</v>
      </c>
      <c r="EW197" s="95">
        <f>errpos(HEX2DEC($EV197),HEX2DEC($O$18),HEX2DEC($P$18),HEX2DEC($Q$18),HEX2DEC($R$18),HEX2DEC($S$18),HEX2DEC($T$18),HEX2DEC($U$18),HEX2DEC($V$18))</f>
        <v>3</v>
      </c>
      <c r="EX197" s="95" t="str">
        <f>IF(isNotAbleCollect(HEX2DEC($EV197),$EW197),"×","-")</f>
        <v>-</v>
      </c>
      <c r="EY197" s="96" t="str">
        <f>DEC2HEX(collectValue($ET197,HEX2DEC($EV197),HEX2DEC($EW197)),2)</f>
        <v>01</v>
      </c>
    </row>
    <row r="198" spans="150:156" x14ac:dyDescent="0.15">
      <c r="ET198" s="93">
        <v>182</v>
      </c>
      <c r="EU198" s="94" t="str">
        <f>DEC2HEX($ET198,2)</f>
        <v>B6</v>
      </c>
      <c r="EV198" s="95" t="str">
        <f>DEC2HEX(syndrome($ET198,HEX2DEC($Y$33),HEX2DEC($Z$33),HEX2DEC($AA$33)),1)</f>
        <v>8</v>
      </c>
      <c r="EW198" s="95">
        <f>errpos(HEX2DEC($EV198),HEX2DEC($O$18),HEX2DEC($P$18),HEX2DEC($Q$18),HEX2DEC($R$18),HEX2DEC($S$18),HEX2DEC($T$18),HEX2DEC($U$18),HEX2DEC($V$18))</f>
        <v>8</v>
      </c>
      <c r="EX198" s="95" t="str">
        <f>IF(isNotAbleCollect(HEX2DEC($EV198),$EW198),"×","-")</f>
        <v>-</v>
      </c>
      <c r="EY198" s="96" t="str">
        <f>DEC2HEX(collectValue($ET198,HEX2DEC($EV198),HEX2DEC($EW198)),2)</f>
        <v>06</v>
      </c>
    </row>
    <row r="199" spans="150:156" x14ac:dyDescent="0.15">
      <c r="ET199" s="93">
        <v>183</v>
      </c>
      <c r="EU199" s="94" t="str">
        <f>DEC2HEX($ET199,2)</f>
        <v>B7</v>
      </c>
      <c r="EV199" s="95" t="str">
        <f>DEC2HEX(syndrome($ET199,HEX2DEC($Y$33),HEX2DEC($Z$33),HEX2DEC($AA$33)),1)</f>
        <v>3</v>
      </c>
      <c r="EW199" s="95">
        <f>errpos(HEX2DEC($EV199),HEX2DEC($O$18),HEX2DEC($P$18),HEX2DEC($Q$18),HEX2DEC($R$18),HEX2DEC($S$18),HEX2DEC($T$18),HEX2DEC($U$18),HEX2DEC($V$18))</f>
        <v>0</v>
      </c>
      <c r="EX199" s="95" t="str">
        <f>IF(isNotAbleCollect(HEX2DEC($EV199),$EW199),"×","-")</f>
        <v>×</v>
      </c>
      <c r="EY199" s="96" t="str">
        <f>DEC2HEX(collectValue($ET199,HEX2DEC($EV199),HEX2DEC($EW199)),2)</f>
        <v>FF</v>
      </c>
    </row>
    <row r="200" spans="150:156" x14ac:dyDescent="0.15">
      <c r="ET200" s="93">
        <v>184</v>
      </c>
      <c r="EU200" s="94" t="str">
        <f>DEC2HEX($ET200,2)</f>
        <v>B8</v>
      </c>
      <c r="EV200" s="95" t="str">
        <f>DEC2HEX(syndrome($ET200,HEX2DEC($Y$33),HEX2DEC($Z$33),HEX2DEC($AA$33)),1)</f>
        <v>4</v>
      </c>
      <c r="EW200" s="95">
        <f>errpos(HEX2DEC($EV200),HEX2DEC($O$18),HEX2DEC($P$18),HEX2DEC($Q$18),HEX2DEC($R$18),HEX2DEC($S$18),HEX2DEC($T$18),HEX2DEC($U$18),HEX2DEC($V$18))</f>
        <v>0</v>
      </c>
      <c r="EX200" s="95" t="str">
        <f>IF(isNotAbleCollect(HEX2DEC($EV200),$EW200),"×","-")</f>
        <v>×</v>
      </c>
      <c r="EY200" s="96" t="str">
        <f>DEC2HEX(collectValue($ET200,HEX2DEC($EV200),HEX2DEC($EW200)),2)</f>
        <v>FF</v>
      </c>
    </row>
    <row r="201" spans="150:156" x14ac:dyDescent="0.15">
      <c r="ET201" s="93">
        <v>185</v>
      </c>
      <c r="EU201" s="94" t="str">
        <f>DEC2HEX($ET201,2)</f>
        <v>B9</v>
      </c>
      <c r="EV201" s="95" t="str">
        <f>DEC2HEX(syndrome($ET201,HEX2DEC($Y$33),HEX2DEC($Z$33),HEX2DEC($AA$33)),1)</f>
        <v>F</v>
      </c>
      <c r="EW201" s="95">
        <f>errpos(HEX2DEC($EV201),HEX2DEC($O$18),HEX2DEC($P$18),HEX2DEC($Q$18),HEX2DEC($R$18),HEX2DEC($S$18),HEX2DEC($T$18),HEX2DEC($U$18),HEX2DEC($V$18))</f>
        <v>4</v>
      </c>
      <c r="EX201" s="95" t="str">
        <f>IF(isNotAbleCollect(HEX2DEC($EV201),$EW201),"×","-")</f>
        <v>-</v>
      </c>
      <c r="EY201" s="96" t="str">
        <f>DEC2HEX(collectValue($ET201,HEX2DEC($EV201),HEX2DEC($EW201)),2)</f>
        <v>01</v>
      </c>
    </row>
    <row r="202" spans="150:156" x14ac:dyDescent="0.15">
      <c r="ET202" s="93">
        <v>186</v>
      </c>
      <c r="EU202" s="94" t="str">
        <f>DEC2HEX($ET202,2)</f>
        <v>BA</v>
      </c>
      <c r="EV202" s="95" t="str">
        <f>DEC2HEX(syndrome($ET202,HEX2DEC($Y$33),HEX2DEC($Z$33),HEX2DEC($AA$33)),1)</f>
        <v>A</v>
      </c>
      <c r="EW202" s="95">
        <f>errpos(HEX2DEC($EV202),HEX2DEC($O$18),HEX2DEC($P$18),HEX2DEC($Q$18),HEX2DEC($R$18),HEX2DEC($S$18),HEX2DEC($T$18),HEX2DEC($U$18),HEX2DEC($V$18))</f>
        <v>6</v>
      </c>
      <c r="EX202" s="95" t="str">
        <f>IF(isNotAbleCollect(HEX2DEC($EV202),$EW202),"×","-")</f>
        <v>-</v>
      </c>
      <c r="EY202" s="96" t="str">
        <f>DEC2HEX(collectValue($ET202,HEX2DEC($EV202),HEX2DEC($EW202)),2)</f>
        <v>0A</v>
      </c>
    </row>
    <row r="203" spans="150:156" x14ac:dyDescent="0.15">
      <c r="ET203" s="93">
        <v>187</v>
      </c>
      <c r="EU203" s="94" t="str">
        <f>DEC2HEX($ET203,2)</f>
        <v>BB</v>
      </c>
      <c r="EV203" s="95" t="str">
        <f>DEC2HEX(syndrome($ET203,HEX2DEC($Y$33),HEX2DEC($Z$33),HEX2DEC($AA$33)),1)</f>
        <v>1</v>
      </c>
      <c r="EW203" s="95">
        <f>errpos(HEX2DEC($EV203),HEX2DEC($O$18),HEX2DEC($P$18),HEX2DEC($Q$18),HEX2DEC($R$18),HEX2DEC($S$18),HEX2DEC($T$18),HEX2DEC($U$18),HEX2DEC($V$18))</f>
        <v>0</v>
      </c>
      <c r="EX203" s="95" t="str">
        <f>IF(isNotAbleCollect(HEX2DEC($EV203),$EW203),"×","-")</f>
        <v>×</v>
      </c>
      <c r="EY203" s="96" t="str">
        <f>DEC2HEX(collectValue($ET203,HEX2DEC($EV203),HEX2DEC($EW203)),2)</f>
        <v>FF</v>
      </c>
    </row>
    <row r="204" spans="150:156" x14ac:dyDescent="0.15">
      <c r="ET204" s="93">
        <v>188</v>
      </c>
      <c r="EU204" s="94" t="str">
        <f>DEC2HEX($ET204,2)</f>
        <v>BC</v>
      </c>
      <c r="EV204" s="95" t="str">
        <f>DEC2HEX(syndrome($ET204,HEX2DEC($Y$33),HEX2DEC($Z$33),HEX2DEC($AA$33)),1)</f>
        <v>9</v>
      </c>
      <c r="EW204" s="95">
        <f>errpos(HEX2DEC($EV204),HEX2DEC($O$18),HEX2DEC($P$18),HEX2DEC($Q$18),HEX2DEC($R$18),HEX2DEC($S$18),HEX2DEC($T$18),HEX2DEC($U$18),HEX2DEC($V$18))</f>
        <v>5</v>
      </c>
      <c r="EX204" s="95" t="str">
        <f>IF(isNotAbleCollect(HEX2DEC($EV204),$EW204),"×","-")</f>
        <v>-</v>
      </c>
      <c r="EY204" s="96" t="str">
        <f>DEC2HEX(collectValue($ET204,HEX2DEC($EV204),HEX2DEC($EW204)),2)</f>
        <v>0C</v>
      </c>
    </row>
    <row r="205" spans="150:156" x14ac:dyDescent="0.15">
      <c r="ET205" s="93">
        <v>189</v>
      </c>
      <c r="EU205" s="94" t="str">
        <f>DEC2HEX($ET205,2)</f>
        <v>BD</v>
      </c>
      <c r="EV205" s="95" t="str">
        <f>DEC2HEX(syndrome($ET205,HEX2DEC($Y$33),HEX2DEC($Z$33),HEX2DEC($AA$33)),1)</f>
        <v>2</v>
      </c>
      <c r="EW205" s="95">
        <f>errpos(HEX2DEC($EV205),HEX2DEC($O$18),HEX2DEC($P$18),HEX2DEC($Q$18),HEX2DEC($R$18),HEX2DEC($S$18),HEX2DEC($T$18),HEX2DEC($U$18),HEX2DEC($V$18))</f>
        <v>0</v>
      </c>
      <c r="EX205" s="95" t="str">
        <f>IF(isNotAbleCollect(HEX2DEC($EV205),$EW205),"×","-")</f>
        <v>×</v>
      </c>
      <c r="EY205" s="96" t="str">
        <f>DEC2HEX(collectValue($ET205,HEX2DEC($EV205),HEX2DEC($EW205)),2)</f>
        <v>FF</v>
      </c>
    </row>
    <row r="206" spans="150:156" x14ac:dyDescent="0.15">
      <c r="ET206" s="93">
        <v>190</v>
      </c>
      <c r="EU206" s="94" t="str">
        <f>DEC2HEX($ET206,2)</f>
        <v>BE</v>
      </c>
      <c r="EV206" s="95" t="str">
        <f>DEC2HEX(syndrome($ET206,HEX2DEC($Y$33),HEX2DEC($Z$33),HEX2DEC($AA$33)),1)</f>
        <v>7</v>
      </c>
      <c r="EW206" s="95">
        <f>errpos(HEX2DEC($EV206),HEX2DEC($O$18),HEX2DEC($P$18),HEX2DEC($Q$18),HEX2DEC($R$18),HEX2DEC($S$18),HEX2DEC($T$18),HEX2DEC($U$18),HEX2DEC($V$18))</f>
        <v>0</v>
      </c>
      <c r="EX206" s="95" t="str">
        <f>IF(isNotAbleCollect(HEX2DEC($EV206),$EW206),"×","-")</f>
        <v>×</v>
      </c>
      <c r="EY206" s="96" t="str">
        <f>DEC2HEX(collectValue($ET206,HEX2DEC($EV206),HEX2DEC($EW206)),2)</f>
        <v>FF</v>
      </c>
    </row>
    <row r="207" spans="150:156" x14ac:dyDescent="0.15">
      <c r="ET207" s="93">
        <v>191</v>
      </c>
      <c r="EU207" s="94" t="str">
        <f>DEC2HEX($ET207,2)</f>
        <v>BF</v>
      </c>
      <c r="EV207" s="95" t="str">
        <f>DEC2HEX(syndrome($ET207,HEX2DEC($Y$33),HEX2DEC($Z$33),HEX2DEC($AA$33)),1)</f>
        <v>C</v>
      </c>
      <c r="EW207" s="95">
        <f>errpos(HEX2DEC($EV207),HEX2DEC($O$18),HEX2DEC($P$18),HEX2DEC($Q$18),HEX2DEC($R$18),HEX2DEC($S$18),HEX2DEC($T$18),HEX2DEC($U$18),HEX2DEC($V$18))</f>
        <v>7</v>
      </c>
      <c r="EX207" s="95" t="str">
        <f>IF(isNotAbleCollect(HEX2DEC($EV207),$EW207),"×","-")</f>
        <v>-</v>
      </c>
      <c r="EY207" s="96" t="str">
        <f>DEC2HEX(collectValue($ET207,HEX2DEC($EV207),HEX2DEC($EW207)),2)</f>
        <v>0F</v>
      </c>
    </row>
    <row r="208" spans="150:156" x14ac:dyDescent="0.15">
      <c r="ET208" s="93">
        <v>192</v>
      </c>
      <c r="EU208" s="94" t="str">
        <f>DEC2HEX($ET208,2)</f>
        <v>C0</v>
      </c>
      <c r="EV208" s="95" t="str">
        <f>DEC2HEX(syndrome($ET208,HEX2DEC($Y$33),HEX2DEC($Z$33),HEX2DEC($AA$33)),1)</f>
        <v>4</v>
      </c>
      <c r="EW208" s="95">
        <f>errpos(HEX2DEC($EV208),HEX2DEC($O$18),HEX2DEC($P$18),HEX2DEC($Q$18),HEX2DEC($R$18),HEX2DEC($S$18),HEX2DEC($T$18),HEX2DEC($U$18),HEX2DEC($V$18))</f>
        <v>0</v>
      </c>
      <c r="EX208" s="95" t="str">
        <f>IF(isNotAbleCollect(HEX2DEC($EV208),$EW208),"×","-")</f>
        <v>×</v>
      </c>
      <c r="EY208" s="96" t="str">
        <f>DEC2HEX(collectValue($ET208,HEX2DEC($EV208),HEX2DEC($EW208)),2)</f>
        <v>FF</v>
      </c>
    </row>
    <row r="209" spans="150:156" x14ac:dyDescent="0.15">
      <c r="ET209" s="93">
        <v>193</v>
      </c>
      <c r="EU209" s="94" t="str">
        <f>DEC2HEX($ET209,2)</f>
        <v>C1</v>
      </c>
      <c r="EV209" s="95" t="str">
        <f>DEC2HEX(syndrome($ET209,HEX2DEC($Y$33),HEX2DEC($Z$33),HEX2DEC($AA$33)),1)</f>
        <v>F</v>
      </c>
      <c r="EW209" s="95">
        <f>errpos(HEX2DEC($EV209),HEX2DEC($O$18),HEX2DEC($P$18),HEX2DEC($Q$18),HEX2DEC($R$18),HEX2DEC($S$18),HEX2DEC($T$18),HEX2DEC($U$18),HEX2DEC($V$18))</f>
        <v>4</v>
      </c>
      <c r="EX209" s="95" t="str">
        <f>IF(isNotAbleCollect(HEX2DEC($EV209),$EW209),"×","-")</f>
        <v>-</v>
      </c>
      <c r="EY209" s="96" t="str">
        <f>DEC2HEX(collectValue($ET209,HEX2DEC($EV209),HEX2DEC($EW209)),2)</f>
        <v>09</v>
      </c>
    </row>
    <row r="210" spans="150:156" x14ac:dyDescent="0.15">
      <c r="ET210" s="93">
        <v>194</v>
      </c>
      <c r="EU210" s="94" t="str">
        <f>DEC2HEX($ET210,2)</f>
        <v>C2</v>
      </c>
      <c r="EV210" s="95" t="str">
        <f>DEC2HEX(syndrome($ET210,HEX2DEC($Y$33),HEX2DEC($Z$33),HEX2DEC($AA$33)),1)</f>
        <v>A</v>
      </c>
      <c r="EW210" s="95">
        <f>errpos(HEX2DEC($EV210),HEX2DEC($O$18),HEX2DEC($P$18),HEX2DEC($Q$18),HEX2DEC($R$18),HEX2DEC($S$18),HEX2DEC($T$18),HEX2DEC($U$18),HEX2DEC($V$18))</f>
        <v>6</v>
      </c>
      <c r="EX210" s="95" t="str">
        <f>IF(isNotAbleCollect(HEX2DEC($EV210),$EW210),"×","-")</f>
        <v>-</v>
      </c>
      <c r="EY210" s="96" t="str">
        <f>DEC2HEX(collectValue($ET210,HEX2DEC($EV210),HEX2DEC($EW210)),2)</f>
        <v>02</v>
      </c>
    </row>
    <row r="211" spans="150:156" x14ac:dyDescent="0.15">
      <c r="ET211" s="93">
        <v>195</v>
      </c>
      <c r="EU211" s="94" t="str">
        <f>DEC2HEX($ET211,2)</f>
        <v>C3</v>
      </c>
      <c r="EV211" s="95" t="str">
        <f>DEC2HEX(syndrome($ET211,HEX2DEC($Y$33),HEX2DEC($Z$33),HEX2DEC($AA$33)),1)</f>
        <v>1</v>
      </c>
      <c r="EW211" s="95">
        <f>errpos(HEX2DEC($EV211),HEX2DEC($O$18),HEX2DEC($P$18),HEX2DEC($Q$18),HEX2DEC($R$18),HEX2DEC($S$18),HEX2DEC($T$18),HEX2DEC($U$18),HEX2DEC($V$18))</f>
        <v>0</v>
      </c>
      <c r="EX211" s="95" t="str">
        <f>IF(isNotAbleCollect(HEX2DEC($EV211),$EW211),"×","-")</f>
        <v>×</v>
      </c>
      <c r="EY211" s="96" t="str">
        <f>DEC2HEX(collectValue($ET211,HEX2DEC($EV211),HEX2DEC($EW211)),2)</f>
        <v>FF</v>
      </c>
    </row>
    <row r="212" spans="150:156" x14ac:dyDescent="0.15">
      <c r="ET212" s="93">
        <v>196</v>
      </c>
      <c r="EU212" s="94" t="str">
        <f>DEC2HEX($ET212,2)</f>
        <v>C4</v>
      </c>
      <c r="EV212" s="95" t="str">
        <f>DEC2HEX(syndrome($ET212,HEX2DEC($Y$33),HEX2DEC($Z$33),HEX2DEC($AA$33)),1)</f>
        <v>9</v>
      </c>
      <c r="EW212" s="95">
        <f>errpos(HEX2DEC($EV212),HEX2DEC($O$18),HEX2DEC($P$18),HEX2DEC($Q$18),HEX2DEC($R$18),HEX2DEC($S$18),HEX2DEC($T$18),HEX2DEC($U$18),HEX2DEC($V$18))</f>
        <v>5</v>
      </c>
      <c r="EX212" s="95" t="str">
        <f>IF(isNotAbleCollect(HEX2DEC($EV212),$EW212),"×","-")</f>
        <v>-</v>
      </c>
      <c r="EY212" s="96" t="str">
        <f>DEC2HEX(collectValue($ET212,HEX2DEC($EV212),HEX2DEC($EW212)),2)</f>
        <v>04</v>
      </c>
    </row>
    <row r="213" spans="150:156" x14ac:dyDescent="0.15">
      <c r="ET213" s="93">
        <v>197</v>
      </c>
      <c r="EU213" s="94" t="str">
        <f>DEC2HEX($ET213,2)</f>
        <v>C5</v>
      </c>
      <c r="EV213" s="95" t="str">
        <f>DEC2HEX(syndrome($ET213,HEX2DEC($Y$33),HEX2DEC($Z$33),HEX2DEC($AA$33)),1)</f>
        <v>2</v>
      </c>
      <c r="EW213" s="95">
        <f>errpos(HEX2DEC($EV213),HEX2DEC($O$18),HEX2DEC($P$18),HEX2DEC($Q$18),HEX2DEC($R$18),HEX2DEC($S$18),HEX2DEC($T$18),HEX2DEC($U$18),HEX2DEC($V$18))</f>
        <v>0</v>
      </c>
      <c r="EX213" s="95" t="str">
        <f>IF(isNotAbleCollect(HEX2DEC($EV213),$EW213),"×","-")</f>
        <v>×</v>
      </c>
      <c r="EY213" s="96" t="str">
        <f>DEC2HEX(collectValue($ET213,HEX2DEC($EV213),HEX2DEC($EW213)),2)</f>
        <v>FF</v>
      </c>
    </row>
    <row r="214" spans="150:156" x14ac:dyDescent="0.15">
      <c r="ET214" s="93">
        <v>198</v>
      </c>
      <c r="EU214" s="94" t="str">
        <f>DEC2HEX($ET214,2)</f>
        <v>C6</v>
      </c>
      <c r="EV214" s="95" t="str">
        <f>DEC2HEX(syndrome($ET214,HEX2DEC($Y$33),HEX2DEC($Z$33),HEX2DEC($AA$33)),1)</f>
        <v>7</v>
      </c>
      <c r="EW214" s="95">
        <f>errpos(HEX2DEC($EV214),HEX2DEC($O$18),HEX2DEC($P$18),HEX2DEC($Q$18),HEX2DEC($R$18),HEX2DEC($S$18),HEX2DEC($T$18),HEX2DEC($U$18),HEX2DEC($V$18))</f>
        <v>0</v>
      </c>
      <c r="EX214" s="95" t="str">
        <f>IF(isNotAbleCollect(HEX2DEC($EV214),$EW214),"×","-")</f>
        <v>×</v>
      </c>
      <c r="EY214" s="96" t="str">
        <f>DEC2HEX(collectValue($ET214,HEX2DEC($EV214),HEX2DEC($EW214)),2)</f>
        <v>FF</v>
      </c>
    </row>
    <row r="215" spans="150:156" x14ac:dyDescent="0.15">
      <c r="ET215" s="93">
        <v>199</v>
      </c>
      <c r="EU215" s="94" t="str">
        <f>DEC2HEX($ET215,2)</f>
        <v>C7</v>
      </c>
      <c r="EV215" s="95" t="str">
        <f>DEC2HEX(syndrome($ET215,HEX2DEC($Y$33),HEX2DEC($Z$33),HEX2DEC($AA$33)),1)</f>
        <v>C</v>
      </c>
      <c r="EW215" s="95">
        <f>errpos(HEX2DEC($EV215),HEX2DEC($O$18),HEX2DEC($P$18),HEX2DEC($Q$18),HEX2DEC($R$18),HEX2DEC($S$18),HEX2DEC($T$18),HEX2DEC($U$18),HEX2DEC($V$18))</f>
        <v>7</v>
      </c>
      <c r="EX215" s="95" t="str">
        <f>IF(isNotAbleCollect(HEX2DEC($EV215),$EW215),"×","-")</f>
        <v>-</v>
      </c>
      <c r="EY215" s="96" t="str">
        <f>DEC2HEX(collectValue($ET215,HEX2DEC($EV215),HEX2DEC($EW215)),2)</f>
        <v>07</v>
      </c>
    </row>
    <row r="216" spans="150:156" x14ac:dyDescent="0.15">
      <c r="ET216" s="93">
        <v>200</v>
      </c>
      <c r="EU216" s="94" t="str">
        <f>DEC2HEX($ET216,2)</f>
        <v>C8</v>
      </c>
      <c r="EV216" s="95" t="str">
        <f>DEC2HEX(syndrome($ET216,HEX2DEC($Y$33),HEX2DEC($Z$33),HEX2DEC($AA$33)),1)</f>
        <v>B</v>
      </c>
      <c r="EW216" s="95">
        <f>errpos(HEX2DEC($EV216),HEX2DEC($O$18),HEX2DEC($P$18),HEX2DEC($Q$18),HEX2DEC($R$18),HEX2DEC($S$18),HEX2DEC($T$18),HEX2DEC($U$18),HEX2DEC($V$18))</f>
        <v>1</v>
      </c>
      <c r="EX216" s="95" t="str">
        <f>IF(isNotAbleCollect(HEX2DEC($EV216),$EW216),"×","-")</f>
        <v>-</v>
      </c>
      <c r="EY216" s="96" t="str">
        <f>DEC2HEX(collectValue($ET216,HEX2DEC($EV216),HEX2DEC($EW216)),2)</f>
        <v>09</v>
      </c>
    </row>
    <row r="217" spans="150:156" x14ac:dyDescent="0.15">
      <c r="ET217" s="93">
        <v>201</v>
      </c>
      <c r="EU217" s="94" t="str">
        <f>DEC2HEX($ET217,2)</f>
        <v>C9</v>
      </c>
      <c r="EV217" s="95" t="str">
        <f>DEC2HEX(syndrome($ET217,HEX2DEC($Y$33),HEX2DEC($Z$33),HEX2DEC($AA$33)),1)</f>
        <v>0</v>
      </c>
      <c r="EW217" s="95">
        <f>errpos(HEX2DEC($EV217),HEX2DEC($O$18),HEX2DEC($P$18),HEX2DEC($Q$18),HEX2DEC($R$18),HEX2DEC($S$18),HEX2DEC($T$18),HEX2DEC($U$18),HEX2DEC($V$18))</f>
        <v>0</v>
      </c>
      <c r="EX217" s="95" t="str">
        <f>IF(isNotAbleCollect(HEX2DEC($EV217),$EW217),"×","-")</f>
        <v>-</v>
      </c>
      <c r="EY217" s="96" t="str">
        <f>DEC2HEX(collectValue($ET217,HEX2DEC($EV217),HEX2DEC($EW217)),2)</f>
        <v>09</v>
      </c>
      <c r="EZ217" s="90">
        <v>13</v>
      </c>
    </row>
    <row r="218" spans="150:156" x14ac:dyDescent="0.15">
      <c r="ET218" s="93">
        <v>202</v>
      </c>
      <c r="EU218" s="94" t="str">
        <f>DEC2HEX($ET218,2)</f>
        <v>CA</v>
      </c>
      <c r="EV218" s="95" t="str">
        <f>DEC2HEX(syndrome($ET218,HEX2DEC($Y$33),HEX2DEC($Z$33),HEX2DEC($AA$33)),1)</f>
        <v>5</v>
      </c>
      <c r="EW218" s="95">
        <f>errpos(HEX2DEC($EV218),HEX2DEC($O$18),HEX2DEC($P$18),HEX2DEC($Q$18),HEX2DEC($R$18),HEX2DEC($S$18),HEX2DEC($T$18),HEX2DEC($U$18),HEX2DEC($V$18))</f>
        <v>0</v>
      </c>
      <c r="EX218" s="95" t="str">
        <f>IF(isNotAbleCollect(HEX2DEC($EV218),$EW218),"×","-")</f>
        <v>×</v>
      </c>
      <c r="EY218" s="96" t="str">
        <f>DEC2HEX(collectValue($ET218,HEX2DEC($EV218),HEX2DEC($EW218)),2)</f>
        <v>FF</v>
      </c>
    </row>
    <row r="219" spans="150:156" x14ac:dyDescent="0.15">
      <c r="ET219" s="93">
        <v>203</v>
      </c>
      <c r="EU219" s="94" t="str">
        <f>DEC2HEX($ET219,2)</f>
        <v>CB</v>
      </c>
      <c r="EV219" s="95" t="str">
        <f>DEC2HEX(syndrome($ET219,HEX2DEC($Y$33),HEX2DEC($Z$33),HEX2DEC($AA$33)),1)</f>
        <v>E</v>
      </c>
      <c r="EW219" s="95">
        <f>errpos(HEX2DEC($EV219),HEX2DEC($O$18),HEX2DEC($P$18),HEX2DEC($Q$18),HEX2DEC($R$18),HEX2DEC($S$18),HEX2DEC($T$18),HEX2DEC($U$18),HEX2DEC($V$18))</f>
        <v>2</v>
      </c>
      <c r="EX219" s="95" t="str">
        <f>IF(isNotAbleCollect(HEX2DEC($EV219),$EW219),"×","-")</f>
        <v>-</v>
      </c>
      <c r="EY219" s="96" t="str">
        <f>DEC2HEX(collectValue($ET219,HEX2DEC($EV219),HEX2DEC($EW219)),2)</f>
        <v>09</v>
      </c>
    </row>
    <row r="220" spans="150:156" x14ac:dyDescent="0.15">
      <c r="ET220" s="93">
        <v>204</v>
      </c>
      <c r="EU220" s="94" t="str">
        <f>DEC2HEX($ET220,2)</f>
        <v>CC</v>
      </c>
      <c r="EV220" s="95" t="str">
        <f>DEC2HEX(syndrome($ET220,HEX2DEC($Y$33),HEX2DEC($Z$33),HEX2DEC($AA$33)),1)</f>
        <v>6</v>
      </c>
      <c r="EW220" s="95">
        <f>errpos(HEX2DEC($EV220),HEX2DEC($O$18),HEX2DEC($P$18),HEX2DEC($Q$18),HEX2DEC($R$18),HEX2DEC($S$18),HEX2DEC($T$18),HEX2DEC($U$18),HEX2DEC($V$18))</f>
        <v>0</v>
      </c>
      <c r="EX220" s="95" t="str">
        <f>IF(isNotAbleCollect(HEX2DEC($EV220),$EW220),"×","-")</f>
        <v>×</v>
      </c>
      <c r="EY220" s="96" t="str">
        <f>DEC2HEX(collectValue($ET220,HEX2DEC($EV220),HEX2DEC($EW220)),2)</f>
        <v>FF</v>
      </c>
    </row>
    <row r="221" spans="150:156" x14ac:dyDescent="0.15">
      <c r="ET221" s="93">
        <v>205</v>
      </c>
      <c r="EU221" s="94" t="str">
        <f>DEC2HEX($ET221,2)</f>
        <v>CD</v>
      </c>
      <c r="EV221" s="95" t="str">
        <f>DEC2HEX(syndrome($ET221,HEX2DEC($Y$33),HEX2DEC($Z$33),HEX2DEC($AA$33)),1)</f>
        <v>D</v>
      </c>
      <c r="EW221" s="95">
        <f>errpos(HEX2DEC($EV221),HEX2DEC($O$18),HEX2DEC($P$18),HEX2DEC($Q$18),HEX2DEC($R$18),HEX2DEC($S$18),HEX2DEC($T$18),HEX2DEC($U$18),HEX2DEC($V$18))</f>
        <v>3</v>
      </c>
      <c r="EX221" s="95" t="str">
        <f>IF(isNotAbleCollect(HEX2DEC($EV221),$EW221),"×","-")</f>
        <v>-</v>
      </c>
      <c r="EY221" s="96" t="str">
        <f>DEC2HEX(collectValue($ET221,HEX2DEC($EV221),HEX2DEC($EW221)),2)</f>
        <v>09</v>
      </c>
    </row>
    <row r="222" spans="150:156" x14ac:dyDescent="0.15">
      <c r="ET222" s="93">
        <v>206</v>
      </c>
      <c r="EU222" s="94" t="str">
        <f>DEC2HEX($ET222,2)</f>
        <v>CE</v>
      </c>
      <c r="EV222" s="95" t="str">
        <f>DEC2HEX(syndrome($ET222,HEX2DEC($Y$33),HEX2DEC($Z$33),HEX2DEC($AA$33)),1)</f>
        <v>8</v>
      </c>
      <c r="EW222" s="95">
        <f>errpos(HEX2DEC($EV222),HEX2DEC($O$18),HEX2DEC($P$18),HEX2DEC($Q$18),HEX2DEC($R$18),HEX2DEC($S$18),HEX2DEC($T$18),HEX2DEC($U$18),HEX2DEC($V$18))</f>
        <v>8</v>
      </c>
      <c r="EX222" s="95" t="str">
        <f>IF(isNotAbleCollect(HEX2DEC($EV222),$EW222),"×","-")</f>
        <v>-</v>
      </c>
      <c r="EY222" s="96" t="str">
        <f>DEC2HEX(collectValue($ET222,HEX2DEC($EV222),HEX2DEC($EW222)),2)</f>
        <v>0E</v>
      </c>
    </row>
    <row r="223" spans="150:156" x14ac:dyDescent="0.15">
      <c r="ET223" s="93">
        <v>207</v>
      </c>
      <c r="EU223" s="94" t="str">
        <f>DEC2HEX($ET223,2)</f>
        <v>CF</v>
      </c>
      <c r="EV223" s="95" t="str">
        <f>DEC2HEX(syndrome($ET223,HEX2DEC($Y$33),HEX2DEC($Z$33),HEX2DEC($AA$33)),1)</f>
        <v>3</v>
      </c>
      <c r="EW223" s="95">
        <f>errpos(HEX2DEC($EV223),HEX2DEC($O$18),HEX2DEC($P$18),HEX2DEC($Q$18),HEX2DEC($R$18),HEX2DEC($S$18),HEX2DEC($T$18),HEX2DEC($U$18),HEX2DEC($V$18))</f>
        <v>0</v>
      </c>
      <c r="EX223" s="95" t="str">
        <f>IF(isNotAbleCollect(HEX2DEC($EV223),$EW223),"×","-")</f>
        <v>×</v>
      </c>
      <c r="EY223" s="96" t="str">
        <f>DEC2HEX(collectValue($ET223,HEX2DEC($EV223),HEX2DEC($EW223)),2)</f>
        <v>FF</v>
      </c>
    </row>
    <row r="224" spans="150:156" x14ac:dyDescent="0.15">
      <c r="ET224" s="93">
        <v>208</v>
      </c>
      <c r="EU224" s="94" t="str">
        <f>DEC2HEX($ET224,2)</f>
        <v>D0</v>
      </c>
      <c r="EV224" s="95" t="str">
        <f>DEC2HEX(syndrome($ET224,HEX2DEC($Y$33),HEX2DEC($Z$33),HEX2DEC($AA$33)),1)</f>
        <v>D</v>
      </c>
      <c r="EW224" s="95">
        <f>errpos(HEX2DEC($EV224),HEX2DEC($O$18),HEX2DEC($P$18),HEX2DEC($Q$18),HEX2DEC($R$18),HEX2DEC($S$18),HEX2DEC($T$18),HEX2DEC($U$18),HEX2DEC($V$18))</f>
        <v>3</v>
      </c>
      <c r="EX224" s="95" t="str">
        <f>IF(isNotAbleCollect(HEX2DEC($EV224),$EW224),"×","-")</f>
        <v>-</v>
      </c>
      <c r="EY224" s="96" t="str">
        <f>DEC2HEX(collectValue($ET224,HEX2DEC($EV224),HEX2DEC($EW224)),2)</f>
        <v>04</v>
      </c>
    </row>
    <row r="225" spans="150:156" x14ac:dyDescent="0.15">
      <c r="ET225" s="93">
        <v>209</v>
      </c>
      <c r="EU225" s="94" t="str">
        <f>DEC2HEX($ET225,2)</f>
        <v>D1</v>
      </c>
      <c r="EV225" s="95" t="str">
        <f>DEC2HEX(syndrome($ET225,HEX2DEC($Y$33),HEX2DEC($Z$33),HEX2DEC($AA$33)),1)</f>
        <v>6</v>
      </c>
      <c r="EW225" s="95">
        <f>errpos(HEX2DEC($EV225),HEX2DEC($O$18),HEX2DEC($P$18),HEX2DEC($Q$18),HEX2DEC($R$18),HEX2DEC($S$18),HEX2DEC($T$18),HEX2DEC($U$18),HEX2DEC($V$18))</f>
        <v>0</v>
      </c>
      <c r="EX225" s="95" t="str">
        <f>IF(isNotAbleCollect(HEX2DEC($EV225),$EW225),"×","-")</f>
        <v>×</v>
      </c>
      <c r="EY225" s="96" t="str">
        <f>DEC2HEX(collectValue($ET225,HEX2DEC($EV225),HEX2DEC($EW225)),2)</f>
        <v>FF</v>
      </c>
    </row>
    <row r="226" spans="150:156" x14ac:dyDescent="0.15">
      <c r="ET226" s="93">
        <v>210</v>
      </c>
      <c r="EU226" s="94" t="str">
        <f>DEC2HEX($ET226,2)</f>
        <v>D2</v>
      </c>
      <c r="EV226" s="95" t="str">
        <f>DEC2HEX(syndrome($ET226,HEX2DEC($Y$33),HEX2DEC($Z$33),HEX2DEC($AA$33)),1)</f>
        <v>3</v>
      </c>
      <c r="EW226" s="95">
        <f>errpos(HEX2DEC($EV226),HEX2DEC($O$18),HEX2DEC($P$18),HEX2DEC($Q$18),HEX2DEC($R$18),HEX2DEC($S$18),HEX2DEC($T$18),HEX2DEC($U$18),HEX2DEC($V$18))</f>
        <v>0</v>
      </c>
      <c r="EX226" s="95" t="str">
        <f>IF(isNotAbleCollect(HEX2DEC($EV226),$EW226),"×","-")</f>
        <v>×</v>
      </c>
      <c r="EY226" s="96" t="str">
        <f>DEC2HEX(collectValue($ET226,HEX2DEC($EV226),HEX2DEC($EW226)),2)</f>
        <v>FF</v>
      </c>
    </row>
    <row r="227" spans="150:156" x14ac:dyDescent="0.15">
      <c r="ET227" s="93">
        <v>211</v>
      </c>
      <c r="EU227" s="94" t="str">
        <f>DEC2HEX($ET227,2)</f>
        <v>D3</v>
      </c>
      <c r="EV227" s="95" t="str">
        <f>DEC2HEX(syndrome($ET227,HEX2DEC($Y$33),HEX2DEC($Z$33),HEX2DEC($AA$33)),1)</f>
        <v>8</v>
      </c>
      <c r="EW227" s="95">
        <f>errpos(HEX2DEC($EV227),HEX2DEC($O$18),HEX2DEC($P$18),HEX2DEC($Q$18),HEX2DEC($R$18),HEX2DEC($S$18),HEX2DEC($T$18),HEX2DEC($U$18),HEX2DEC($V$18))</f>
        <v>8</v>
      </c>
      <c r="EX227" s="95" t="str">
        <f>IF(isNotAbleCollect(HEX2DEC($EV227),$EW227),"×","-")</f>
        <v>-</v>
      </c>
      <c r="EY227" s="96" t="str">
        <f>DEC2HEX(collectValue($ET227,HEX2DEC($EV227),HEX2DEC($EW227)),2)</f>
        <v>03</v>
      </c>
    </row>
    <row r="228" spans="150:156" x14ac:dyDescent="0.15">
      <c r="ET228" s="93">
        <v>212</v>
      </c>
      <c r="EU228" s="94" t="str">
        <f>DEC2HEX($ET228,2)</f>
        <v>D4</v>
      </c>
      <c r="EV228" s="95" t="str">
        <f>DEC2HEX(syndrome($ET228,HEX2DEC($Y$33),HEX2DEC($Z$33),HEX2DEC($AA$33)),1)</f>
        <v>0</v>
      </c>
      <c r="EW228" s="95">
        <f>errpos(HEX2DEC($EV228),HEX2DEC($O$18),HEX2DEC($P$18),HEX2DEC($Q$18),HEX2DEC($R$18),HEX2DEC($S$18),HEX2DEC($T$18),HEX2DEC($U$18),HEX2DEC($V$18))</f>
        <v>0</v>
      </c>
      <c r="EX228" s="95" t="str">
        <f>IF(isNotAbleCollect(HEX2DEC($EV228),$EW228),"×","-")</f>
        <v>-</v>
      </c>
      <c r="EY228" s="96" t="str">
        <f>DEC2HEX(collectValue($ET228,HEX2DEC($EV228),HEX2DEC($EW228)),2)</f>
        <v>04</v>
      </c>
      <c r="EZ228" s="90">
        <v>14</v>
      </c>
    </row>
    <row r="229" spans="150:156" x14ac:dyDescent="0.15">
      <c r="ET229" s="93">
        <v>213</v>
      </c>
      <c r="EU229" s="94" t="str">
        <f>DEC2HEX($ET229,2)</f>
        <v>D5</v>
      </c>
      <c r="EV229" s="95" t="str">
        <f>DEC2HEX(syndrome($ET229,HEX2DEC($Y$33),HEX2DEC($Z$33),HEX2DEC($AA$33)),1)</f>
        <v>B</v>
      </c>
      <c r="EW229" s="95">
        <f>errpos(HEX2DEC($EV229),HEX2DEC($O$18),HEX2DEC($P$18),HEX2DEC($Q$18),HEX2DEC($R$18),HEX2DEC($S$18),HEX2DEC($T$18),HEX2DEC($U$18),HEX2DEC($V$18))</f>
        <v>1</v>
      </c>
      <c r="EX229" s="95" t="str">
        <f>IF(isNotAbleCollect(HEX2DEC($EV229),$EW229),"×","-")</f>
        <v>-</v>
      </c>
      <c r="EY229" s="96" t="str">
        <f>DEC2HEX(collectValue($ET229,HEX2DEC($EV229),HEX2DEC($EW229)),2)</f>
        <v>04</v>
      </c>
    </row>
    <row r="230" spans="150:156" x14ac:dyDescent="0.15">
      <c r="ET230" s="93">
        <v>214</v>
      </c>
      <c r="EU230" s="94" t="str">
        <f>DEC2HEX($ET230,2)</f>
        <v>D6</v>
      </c>
      <c r="EV230" s="95" t="str">
        <f>DEC2HEX(syndrome($ET230,HEX2DEC($Y$33),HEX2DEC($Z$33),HEX2DEC($AA$33)),1)</f>
        <v>E</v>
      </c>
      <c r="EW230" s="95">
        <f>errpos(HEX2DEC($EV230),HEX2DEC($O$18),HEX2DEC($P$18),HEX2DEC($Q$18),HEX2DEC($R$18),HEX2DEC($S$18),HEX2DEC($T$18),HEX2DEC($U$18),HEX2DEC($V$18))</f>
        <v>2</v>
      </c>
      <c r="EX230" s="95" t="str">
        <f>IF(isNotAbleCollect(HEX2DEC($EV230),$EW230),"×","-")</f>
        <v>-</v>
      </c>
      <c r="EY230" s="96" t="str">
        <f>DEC2HEX(collectValue($ET230,HEX2DEC($EV230),HEX2DEC($EW230)),2)</f>
        <v>04</v>
      </c>
    </row>
    <row r="231" spans="150:156" x14ac:dyDescent="0.15">
      <c r="ET231" s="93">
        <v>215</v>
      </c>
      <c r="EU231" s="94" t="str">
        <f>DEC2HEX($ET231,2)</f>
        <v>D7</v>
      </c>
      <c r="EV231" s="95" t="str">
        <f>DEC2HEX(syndrome($ET231,HEX2DEC($Y$33),HEX2DEC($Z$33),HEX2DEC($AA$33)),1)</f>
        <v>5</v>
      </c>
      <c r="EW231" s="95">
        <f>errpos(HEX2DEC($EV231),HEX2DEC($O$18),HEX2DEC($P$18),HEX2DEC($Q$18),HEX2DEC($R$18),HEX2DEC($S$18),HEX2DEC($T$18),HEX2DEC($U$18),HEX2DEC($V$18))</f>
        <v>0</v>
      </c>
      <c r="EX231" s="95" t="str">
        <f>IF(isNotAbleCollect(HEX2DEC($EV231),$EW231),"×","-")</f>
        <v>×</v>
      </c>
      <c r="EY231" s="96" t="str">
        <f>DEC2HEX(collectValue($ET231,HEX2DEC($EV231),HEX2DEC($EW231)),2)</f>
        <v>FF</v>
      </c>
    </row>
    <row r="232" spans="150:156" x14ac:dyDescent="0.15">
      <c r="ET232" s="93">
        <v>216</v>
      </c>
      <c r="EU232" s="94" t="str">
        <f>DEC2HEX($ET232,2)</f>
        <v>D8</v>
      </c>
      <c r="EV232" s="95" t="str">
        <f>DEC2HEX(syndrome($ET232,HEX2DEC($Y$33),HEX2DEC($Z$33),HEX2DEC($AA$33)),1)</f>
        <v>2</v>
      </c>
      <c r="EW232" s="95">
        <f>errpos(HEX2DEC($EV232),HEX2DEC($O$18),HEX2DEC($P$18),HEX2DEC($Q$18),HEX2DEC($R$18),HEX2DEC($S$18),HEX2DEC($T$18),HEX2DEC($U$18),HEX2DEC($V$18))</f>
        <v>0</v>
      </c>
      <c r="EX232" s="95" t="str">
        <f>IF(isNotAbleCollect(HEX2DEC($EV232),$EW232),"×","-")</f>
        <v>×</v>
      </c>
      <c r="EY232" s="96" t="str">
        <f>DEC2HEX(collectValue($ET232,HEX2DEC($EV232),HEX2DEC($EW232)),2)</f>
        <v>FF</v>
      </c>
    </row>
    <row r="233" spans="150:156" x14ac:dyDescent="0.15">
      <c r="ET233" s="93">
        <v>217</v>
      </c>
      <c r="EU233" s="94" t="str">
        <f>DEC2HEX($ET233,2)</f>
        <v>D9</v>
      </c>
      <c r="EV233" s="95" t="str">
        <f>DEC2HEX(syndrome($ET233,HEX2DEC($Y$33),HEX2DEC($Z$33),HEX2DEC($AA$33)),1)</f>
        <v>9</v>
      </c>
      <c r="EW233" s="95">
        <f>errpos(HEX2DEC($EV233),HEX2DEC($O$18),HEX2DEC($P$18),HEX2DEC($Q$18),HEX2DEC($R$18),HEX2DEC($S$18),HEX2DEC($T$18),HEX2DEC($U$18),HEX2DEC($V$18))</f>
        <v>5</v>
      </c>
      <c r="EX233" s="95" t="str">
        <f>IF(isNotAbleCollect(HEX2DEC($EV233),$EW233),"×","-")</f>
        <v>-</v>
      </c>
      <c r="EY233" s="96" t="str">
        <f>DEC2HEX(collectValue($ET233,HEX2DEC($EV233),HEX2DEC($EW233)),2)</f>
        <v>09</v>
      </c>
    </row>
    <row r="234" spans="150:156" x14ac:dyDescent="0.15">
      <c r="ET234" s="93">
        <v>218</v>
      </c>
      <c r="EU234" s="94" t="str">
        <f>DEC2HEX($ET234,2)</f>
        <v>DA</v>
      </c>
      <c r="EV234" s="95" t="str">
        <f>DEC2HEX(syndrome($ET234,HEX2DEC($Y$33),HEX2DEC($Z$33),HEX2DEC($AA$33)),1)</f>
        <v>C</v>
      </c>
      <c r="EW234" s="95">
        <f>errpos(HEX2DEC($EV234),HEX2DEC($O$18),HEX2DEC($P$18),HEX2DEC($Q$18),HEX2DEC($R$18),HEX2DEC($S$18),HEX2DEC($T$18),HEX2DEC($U$18),HEX2DEC($V$18))</f>
        <v>7</v>
      </c>
      <c r="EX234" s="95" t="str">
        <f>IF(isNotAbleCollect(HEX2DEC($EV234),$EW234),"×","-")</f>
        <v>-</v>
      </c>
      <c r="EY234" s="96" t="str">
        <f>DEC2HEX(collectValue($ET234,HEX2DEC($EV234),HEX2DEC($EW234)),2)</f>
        <v>0A</v>
      </c>
    </row>
    <row r="235" spans="150:156" x14ac:dyDescent="0.15">
      <c r="ET235" s="93">
        <v>219</v>
      </c>
      <c r="EU235" s="94" t="str">
        <f>DEC2HEX($ET235,2)</f>
        <v>DB</v>
      </c>
      <c r="EV235" s="95" t="str">
        <f>DEC2HEX(syndrome($ET235,HEX2DEC($Y$33),HEX2DEC($Z$33),HEX2DEC($AA$33)),1)</f>
        <v>7</v>
      </c>
      <c r="EW235" s="95">
        <f>errpos(HEX2DEC($EV235),HEX2DEC($O$18),HEX2DEC($P$18),HEX2DEC($Q$18),HEX2DEC($R$18),HEX2DEC($S$18),HEX2DEC($T$18),HEX2DEC($U$18),HEX2DEC($V$18))</f>
        <v>0</v>
      </c>
      <c r="EX235" s="95" t="str">
        <f>IF(isNotAbleCollect(HEX2DEC($EV235),$EW235),"×","-")</f>
        <v>×</v>
      </c>
      <c r="EY235" s="96" t="str">
        <f>DEC2HEX(collectValue($ET235,HEX2DEC($EV235),HEX2DEC($EW235)),2)</f>
        <v>FF</v>
      </c>
    </row>
    <row r="236" spans="150:156" x14ac:dyDescent="0.15">
      <c r="ET236" s="93">
        <v>220</v>
      </c>
      <c r="EU236" s="94" t="str">
        <f>DEC2HEX($ET236,2)</f>
        <v>DC</v>
      </c>
      <c r="EV236" s="95" t="str">
        <f>DEC2HEX(syndrome($ET236,HEX2DEC($Y$33),HEX2DEC($Z$33),HEX2DEC($AA$33)),1)</f>
        <v>F</v>
      </c>
      <c r="EW236" s="95">
        <f>errpos(HEX2DEC($EV236),HEX2DEC($O$18),HEX2DEC($P$18),HEX2DEC($Q$18),HEX2DEC($R$18),HEX2DEC($S$18),HEX2DEC($T$18),HEX2DEC($U$18),HEX2DEC($V$18))</f>
        <v>4</v>
      </c>
      <c r="EX236" s="95" t="str">
        <f>IF(isNotAbleCollect(HEX2DEC($EV236),$EW236),"×","-")</f>
        <v>-</v>
      </c>
      <c r="EY236" s="96" t="str">
        <f>DEC2HEX(collectValue($ET236,HEX2DEC($EV236),HEX2DEC($EW236)),2)</f>
        <v>04</v>
      </c>
    </row>
    <row r="237" spans="150:156" x14ac:dyDescent="0.15">
      <c r="ET237" s="93">
        <v>221</v>
      </c>
      <c r="EU237" s="94" t="str">
        <f>DEC2HEX($ET237,2)</f>
        <v>DD</v>
      </c>
      <c r="EV237" s="95" t="str">
        <f>DEC2HEX(syndrome($ET237,HEX2DEC($Y$33),HEX2DEC($Z$33),HEX2DEC($AA$33)),1)</f>
        <v>4</v>
      </c>
      <c r="EW237" s="95">
        <f>errpos(HEX2DEC($EV237),HEX2DEC($O$18),HEX2DEC($P$18),HEX2DEC($Q$18),HEX2DEC($R$18),HEX2DEC($S$18),HEX2DEC($T$18),HEX2DEC($U$18),HEX2DEC($V$18))</f>
        <v>0</v>
      </c>
      <c r="EX237" s="95" t="str">
        <f>IF(isNotAbleCollect(HEX2DEC($EV237),$EW237),"×","-")</f>
        <v>×</v>
      </c>
      <c r="EY237" s="96" t="str">
        <f>DEC2HEX(collectValue($ET237,HEX2DEC($EV237),HEX2DEC($EW237)),2)</f>
        <v>FF</v>
      </c>
    </row>
    <row r="238" spans="150:156" x14ac:dyDescent="0.15">
      <c r="ET238" s="93">
        <v>222</v>
      </c>
      <c r="EU238" s="94" t="str">
        <f>DEC2HEX($ET238,2)</f>
        <v>DE</v>
      </c>
      <c r="EV238" s="95" t="str">
        <f>DEC2HEX(syndrome($ET238,HEX2DEC($Y$33),HEX2DEC($Z$33),HEX2DEC($AA$33)),1)</f>
        <v>1</v>
      </c>
      <c r="EW238" s="95">
        <f>errpos(HEX2DEC($EV238),HEX2DEC($O$18),HEX2DEC($P$18),HEX2DEC($Q$18),HEX2DEC($R$18),HEX2DEC($S$18),HEX2DEC($T$18),HEX2DEC($U$18),HEX2DEC($V$18))</f>
        <v>0</v>
      </c>
      <c r="EX238" s="95" t="str">
        <f>IF(isNotAbleCollect(HEX2DEC($EV238),$EW238),"×","-")</f>
        <v>×</v>
      </c>
      <c r="EY238" s="96" t="str">
        <f>DEC2HEX(collectValue($ET238,HEX2DEC($EV238),HEX2DEC($EW238)),2)</f>
        <v>FF</v>
      </c>
    </row>
    <row r="239" spans="150:156" x14ac:dyDescent="0.15">
      <c r="ET239" s="93">
        <v>223</v>
      </c>
      <c r="EU239" s="94" t="str">
        <f>DEC2HEX($ET239,2)</f>
        <v>DF</v>
      </c>
      <c r="EV239" s="95" t="str">
        <f>DEC2HEX(syndrome($ET239,HEX2DEC($Y$33),HEX2DEC($Z$33),HEX2DEC($AA$33)),1)</f>
        <v>A</v>
      </c>
      <c r="EW239" s="95">
        <f>errpos(HEX2DEC($EV239),HEX2DEC($O$18),HEX2DEC($P$18),HEX2DEC($Q$18),HEX2DEC($R$18),HEX2DEC($S$18),HEX2DEC($T$18),HEX2DEC($U$18),HEX2DEC($V$18))</f>
        <v>6</v>
      </c>
      <c r="EX239" s="95" t="str">
        <f>IF(isNotAbleCollect(HEX2DEC($EV239),$EW239),"×","-")</f>
        <v>-</v>
      </c>
      <c r="EY239" s="96" t="str">
        <f>DEC2HEX(collectValue($ET239,HEX2DEC($EV239),HEX2DEC($EW239)),2)</f>
        <v>0F</v>
      </c>
    </row>
    <row r="240" spans="150:156" x14ac:dyDescent="0.15">
      <c r="ET240" s="93">
        <v>224</v>
      </c>
      <c r="EU240" s="94" t="str">
        <f>DEC2HEX($ET240,2)</f>
        <v>E0</v>
      </c>
      <c r="EV240" s="95" t="str">
        <f>DEC2HEX(syndrome($ET240,HEX2DEC($Y$33),HEX2DEC($Z$33),HEX2DEC($AA$33)),1)</f>
        <v>E</v>
      </c>
      <c r="EW240" s="95">
        <f>errpos(HEX2DEC($EV240),HEX2DEC($O$18),HEX2DEC($P$18),HEX2DEC($Q$18),HEX2DEC($R$18),HEX2DEC($S$18),HEX2DEC($T$18),HEX2DEC($U$18),HEX2DEC($V$18))</f>
        <v>2</v>
      </c>
      <c r="EX240" s="95" t="str">
        <f>IF(isNotAbleCollect(HEX2DEC($EV240),$EW240),"×","-")</f>
        <v>-</v>
      </c>
      <c r="EY240" s="96" t="str">
        <f>DEC2HEX(collectValue($ET240,HEX2DEC($EV240),HEX2DEC($EW240)),2)</f>
        <v>02</v>
      </c>
    </row>
    <row r="241" spans="150:156" x14ac:dyDescent="0.15">
      <c r="ET241" s="93">
        <v>225</v>
      </c>
      <c r="EU241" s="94" t="str">
        <f>DEC2HEX($ET241,2)</f>
        <v>E1</v>
      </c>
      <c r="EV241" s="95" t="str">
        <f>DEC2HEX(syndrome($ET241,HEX2DEC($Y$33),HEX2DEC($Z$33),HEX2DEC($AA$33)),1)</f>
        <v>5</v>
      </c>
      <c r="EW241" s="95">
        <f>errpos(HEX2DEC($EV241),HEX2DEC($O$18),HEX2DEC($P$18),HEX2DEC($Q$18),HEX2DEC($R$18),HEX2DEC($S$18),HEX2DEC($T$18),HEX2DEC($U$18),HEX2DEC($V$18))</f>
        <v>0</v>
      </c>
      <c r="EX241" s="95" t="str">
        <f>IF(isNotAbleCollect(HEX2DEC($EV241),$EW241),"×","-")</f>
        <v>×</v>
      </c>
      <c r="EY241" s="96" t="str">
        <f>DEC2HEX(collectValue($ET241,HEX2DEC($EV241),HEX2DEC($EW241)),2)</f>
        <v>FF</v>
      </c>
    </row>
    <row r="242" spans="150:156" x14ac:dyDescent="0.15">
      <c r="ET242" s="93">
        <v>226</v>
      </c>
      <c r="EU242" s="94" t="str">
        <f>DEC2HEX($ET242,2)</f>
        <v>E2</v>
      </c>
      <c r="EV242" s="95" t="str">
        <f>DEC2HEX(syndrome($ET242,HEX2DEC($Y$33),HEX2DEC($Z$33),HEX2DEC($AA$33)),1)</f>
        <v>0</v>
      </c>
      <c r="EW242" s="95">
        <f>errpos(HEX2DEC($EV242),HEX2DEC($O$18),HEX2DEC($P$18),HEX2DEC($Q$18),HEX2DEC($R$18),HEX2DEC($S$18),HEX2DEC($T$18),HEX2DEC($U$18),HEX2DEC($V$18))</f>
        <v>0</v>
      </c>
      <c r="EX242" s="95" t="str">
        <f>IF(isNotAbleCollect(HEX2DEC($EV242),$EW242),"×","-")</f>
        <v>-</v>
      </c>
      <c r="EY242" s="96" t="str">
        <f>DEC2HEX(collectValue($ET242,HEX2DEC($EV242),HEX2DEC($EW242)),2)</f>
        <v>02</v>
      </c>
      <c r="EZ242" s="90">
        <v>15</v>
      </c>
    </row>
    <row r="243" spans="150:156" x14ac:dyDescent="0.15">
      <c r="ET243" s="93">
        <v>227</v>
      </c>
      <c r="EU243" s="94" t="str">
        <f>DEC2HEX($ET243,2)</f>
        <v>E3</v>
      </c>
      <c r="EV243" s="95" t="str">
        <f>DEC2HEX(syndrome($ET243,HEX2DEC($Y$33),HEX2DEC($Z$33),HEX2DEC($AA$33)),1)</f>
        <v>B</v>
      </c>
      <c r="EW243" s="95">
        <f>errpos(HEX2DEC($EV243),HEX2DEC($O$18),HEX2DEC($P$18),HEX2DEC($Q$18),HEX2DEC($R$18),HEX2DEC($S$18),HEX2DEC($T$18),HEX2DEC($U$18),HEX2DEC($V$18))</f>
        <v>1</v>
      </c>
      <c r="EX243" s="95" t="str">
        <f>IF(isNotAbleCollect(HEX2DEC($EV243),$EW243),"×","-")</f>
        <v>-</v>
      </c>
      <c r="EY243" s="96" t="str">
        <f>DEC2HEX(collectValue($ET243,HEX2DEC($EV243),HEX2DEC($EW243)),2)</f>
        <v>02</v>
      </c>
    </row>
    <row r="244" spans="150:156" x14ac:dyDescent="0.15">
      <c r="ET244" s="93">
        <v>228</v>
      </c>
      <c r="EU244" s="94" t="str">
        <f>DEC2HEX($ET244,2)</f>
        <v>E4</v>
      </c>
      <c r="EV244" s="95" t="str">
        <f>DEC2HEX(syndrome($ET244,HEX2DEC($Y$33),HEX2DEC($Z$33),HEX2DEC($AA$33)),1)</f>
        <v>3</v>
      </c>
      <c r="EW244" s="95">
        <f>errpos(HEX2DEC($EV244),HEX2DEC($O$18),HEX2DEC($P$18),HEX2DEC($Q$18),HEX2DEC($R$18),HEX2DEC($S$18),HEX2DEC($T$18),HEX2DEC($U$18),HEX2DEC($V$18))</f>
        <v>0</v>
      </c>
      <c r="EX244" s="95" t="str">
        <f>IF(isNotAbleCollect(HEX2DEC($EV244),$EW244),"×","-")</f>
        <v>×</v>
      </c>
      <c r="EY244" s="96" t="str">
        <f>DEC2HEX(collectValue($ET244,HEX2DEC($EV244),HEX2DEC($EW244)),2)</f>
        <v>FF</v>
      </c>
    </row>
    <row r="245" spans="150:156" x14ac:dyDescent="0.15">
      <c r="ET245" s="93">
        <v>229</v>
      </c>
      <c r="EU245" s="94" t="str">
        <f>DEC2HEX($ET245,2)</f>
        <v>E5</v>
      </c>
      <c r="EV245" s="95" t="str">
        <f>DEC2HEX(syndrome($ET245,HEX2DEC($Y$33),HEX2DEC($Z$33),HEX2DEC($AA$33)),1)</f>
        <v>8</v>
      </c>
      <c r="EW245" s="95">
        <f>errpos(HEX2DEC($EV245),HEX2DEC($O$18),HEX2DEC($P$18),HEX2DEC($Q$18),HEX2DEC($R$18),HEX2DEC($S$18),HEX2DEC($T$18),HEX2DEC($U$18),HEX2DEC($V$18))</f>
        <v>8</v>
      </c>
      <c r="EX245" s="95" t="str">
        <f>IF(isNotAbleCollect(HEX2DEC($EV245),$EW245),"×","-")</f>
        <v>-</v>
      </c>
      <c r="EY245" s="96" t="str">
        <f>DEC2HEX(collectValue($ET245,HEX2DEC($EV245),HEX2DEC($EW245)),2)</f>
        <v>05</v>
      </c>
    </row>
    <row r="246" spans="150:156" x14ac:dyDescent="0.15">
      <c r="ET246" s="93">
        <v>230</v>
      </c>
      <c r="EU246" s="94" t="str">
        <f>DEC2HEX($ET246,2)</f>
        <v>E6</v>
      </c>
      <c r="EV246" s="95" t="str">
        <f>DEC2HEX(syndrome($ET246,HEX2DEC($Y$33),HEX2DEC($Z$33),HEX2DEC($AA$33)),1)</f>
        <v>D</v>
      </c>
      <c r="EW246" s="95">
        <f>errpos(HEX2DEC($EV246),HEX2DEC($O$18),HEX2DEC($P$18),HEX2DEC($Q$18),HEX2DEC($R$18),HEX2DEC($S$18),HEX2DEC($T$18),HEX2DEC($U$18),HEX2DEC($V$18))</f>
        <v>3</v>
      </c>
      <c r="EX246" s="95" t="str">
        <f>IF(isNotAbleCollect(HEX2DEC($EV246),$EW246),"×","-")</f>
        <v>-</v>
      </c>
      <c r="EY246" s="96" t="str">
        <f>DEC2HEX(collectValue($ET246,HEX2DEC($EV246),HEX2DEC($EW246)),2)</f>
        <v>02</v>
      </c>
    </row>
    <row r="247" spans="150:156" x14ac:dyDescent="0.15">
      <c r="ET247" s="93">
        <v>231</v>
      </c>
      <c r="EU247" s="94" t="str">
        <f>DEC2HEX($ET247,2)</f>
        <v>E7</v>
      </c>
      <c r="EV247" s="95" t="str">
        <f>DEC2HEX(syndrome($ET247,HEX2DEC($Y$33),HEX2DEC($Z$33),HEX2DEC($AA$33)),1)</f>
        <v>6</v>
      </c>
      <c r="EW247" s="95">
        <f>errpos(HEX2DEC($EV247),HEX2DEC($O$18),HEX2DEC($P$18),HEX2DEC($Q$18),HEX2DEC($R$18),HEX2DEC($S$18),HEX2DEC($T$18),HEX2DEC($U$18),HEX2DEC($V$18))</f>
        <v>0</v>
      </c>
      <c r="EX247" s="95" t="str">
        <f>IF(isNotAbleCollect(HEX2DEC($EV247),$EW247),"×","-")</f>
        <v>×</v>
      </c>
      <c r="EY247" s="96" t="str">
        <f>DEC2HEX(collectValue($ET247,HEX2DEC($EV247),HEX2DEC($EW247)),2)</f>
        <v>FF</v>
      </c>
    </row>
    <row r="248" spans="150:156" x14ac:dyDescent="0.15">
      <c r="ET248" s="93">
        <v>232</v>
      </c>
      <c r="EU248" s="94" t="str">
        <f>DEC2HEX($ET248,2)</f>
        <v>E8</v>
      </c>
      <c r="EV248" s="95" t="str">
        <f>DEC2HEX(syndrome($ET248,HEX2DEC($Y$33),HEX2DEC($Z$33),HEX2DEC($AA$33)),1)</f>
        <v>1</v>
      </c>
      <c r="EW248" s="95">
        <f>errpos(HEX2DEC($EV248),HEX2DEC($O$18),HEX2DEC($P$18),HEX2DEC($Q$18),HEX2DEC($R$18),HEX2DEC($S$18),HEX2DEC($T$18),HEX2DEC($U$18),HEX2DEC($V$18))</f>
        <v>0</v>
      </c>
      <c r="EX248" s="95" t="str">
        <f>IF(isNotAbleCollect(HEX2DEC($EV248),$EW248),"×","-")</f>
        <v>×</v>
      </c>
      <c r="EY248" s="96" t="str">
        <f>DEC2HEX(collectValue($ET248,HEX2DEC($EV248),HEX2DEC($EW248)),2)</f>
        <v>FF</v>
      </c>
    </row>
    <row r="249" spans="150:156" x14ac:dyDescent="0.15">
      <c r="ET249" s="93">
        <v>233</v>
      </c>
      <c r="EU249" s="94" t="str">
        <f>DEC2HEX($ET249,2)</f>
        <v>E9</v>
      </c>
      <c r="EV249" s="95" t="str">
        <f>DEC2HEX(syndrome($ET249,HEX2DEC($Y$33),HEX2DEC($Z$33),HEX2DEC($AA$33)),1)</f>
        <v>A</v>
      </c>
      <c r="EW249" s="95">
        <f>errpos(HEX2DEC($EV249),HEX2DEC($O$18),HEX2DEC($P$18),HEX2DEC($Q$18),HEX2DEC($R$18),HEX2DEC($S$18),HEX2DEC($T$18),HEX2DEC($U$18),HEX2DEC($V$18))</f>
        <v>6</v>
      </c>
      <c r="EX249" s="95" t="str">
        <f>IF(isNotAbleCollect(HEX2DEC($EV249),$EW249),"×","-")</f>
        <v>-</v>
      </c>
      <c r="EY249" s="96" t="str">
        <f>DEC2HEX(collectValue($ET249,HEX2DEC($EV249),HEX2DEC($EW249)),2)</f>
        <v>09</v>
      </c>
    </row>
    <row r="250" spans="150:156" x14ac:dyDescent="0.15">
      <c r="ET250" s="93">
        <v>234</v>
      </c>
      <c r="EU250" s="94" t="str">
        <f>DEC2HEX($ET250,2)</f>
        <v>EA</v>
      </c>
      <c r="EV250" s="95" t="str">
        <f>DEC2HEX(syndrome($ET250,HEX2DEC($Y$33),HEX2DEC($Z$33),HEX2DEC($AA$33)),1)</f>
        <v>F</v>
      </c>
      <c r="EW250" s="95">
        <f>errpos(HEX2DEC($EV250),HEX2DEC($O$18),HEX2DEC($P$18),HEX2DEC($Q$18),HEX2DEC($R$18),HEX2DEC($S$18),HEX2DEC($T$18),HEX2DEC($U$18),HEX2DEC($V$18))</f>
        <v>4</v>
      </c>
      <c r="EX250" s="95" t="str">
        <f>IF(isNotAbleCollect(HEX2DEC($EV250),$EW250),"×","-")</f>
        <v>-</v>
      </c>
      <c r="EY250" s="96" t="str">
        <f>DEC2HEX(collectValue($ET250,HEX2DEC($EV250),HEX2DEC($EW250)),2)</f>
        <v>02</v>
      </c>
    </row>
    <row r="251" spans="150:156" x14ac:dyDescent="0.15">
      <c r="ET251" s="93">
        <v>235</v>
      </c>
      <c r="EU251" s="94" t="str">
        <f>DEC2HEX($ET251,2)</f>
        <v>EB</v>
      </c>
      <c r="EV251" s="95" t="str">
        <f>DEC2HEX(syndrome($ET251,HEX2DEC($Y$33),HEX2DEC($Z$33),HEX2DEC($AA$33)),1)</f>
        <v>4</v>
      </c>
      <c r="EW251" s="95">
        <f>errpos(HEX2DEC($EV251),HEX2DEC($O$18),HEX2DEC($P$18),HEX2DEC($Q$18),HEX2DEC($R$18),HEX2DEC($S$18),HEX2DEC($T$18),HEX2DEC($U$18),HEX2DEC($V$18))</f>
        <v>0</v>
      </c>
      <c r="EX251" s="95" t="str">
        <f>IF(isNotAbleCollect(HEX2DEC($EV251),$EW251),"×","-")</f>
        <v>×</v>
      </c>
      <c r="EY251" s="96" t="str">
        <f>DEC2HEX(collectValue($ET251,HEX2DEC($EV251),HEX2DEC($EW251)),2)</f>
        <v>FF</v>
      </c>
    </row>
    <row r="252" spans="150:156" x14ac:dyDescent="0.15">
      <c r="ET252" s="93">
        <v>236</v>
      </c>
      <c r="EU252" s="94" t="str">
        <f>DEC2HEX($ET252,2)</f>
        <v>EC</v>
      </c>
      <c r="EV252" s="95" t="str">
        <f>DEC2HEX(syndrome($ET252,HEX2DEC($Y$33),HEX2DEC($Z$33),HEX2DEC($AA$33)),1)</f>
        <v>C</v>
      </c>
      <c r="EW252" s="95">
        <f>errpos(HEX2DEC($EV252),HEX2DEC($O$18),HEX2DEC($P$18),HEX2DEC($Q$18),HEX2DEC($R$18),HEX2DEC($S$18),HEX2DEC($T$18),HEX2DEC($U$18),HEX2DEC($V$18))</f>
        <v>7</v>
      </c>
      <c r="EX252" s="95" t="str">
        <f>IF(isNotAbleCollect(HEX2DEC($EV252),$EW252),"×","-")</f>
        <v>-</v>
      </c>
      <c r="EY252" s="96" t="str">
        <f>DEC2HEX(collectValue($ET252,HEX2DEC($EV252),HEX2DEC($EW252)),2)</f>
        <v>0C</v>
      </c>
    </row>
    <row r="253" spans="150:156" x14ac:dyDescent="0.15">
      <c r="ET253" s="93">
        <v>237</v>
      </c>
      <c r="EU253" s="94" t="str">
        <f>DEC2HEX($ET253,2)</f>
        <v>ED</v>
      </c>
      <c r="EV253" s="95" t="str">
        <f>DEC2HEX(syndrome($ET253,HEX2DEC($Y$33),HEX2DEC($Z$33),HEX2DEC($AA$33)),1)</f>
        <v>7</v>
      </c>
      <c r="EW253" s="95">
        <f>errpos(HEX2DEC($EV253),HEX2DEC($O$18),HEX2DEC($P$18),HEX2DEC($Q$18),HEX2DEC($R$18),HEX2DEC($S$18),HEX2DEC($T$18),HEX2DEC($U$18),HEX2DEC($V$18))</f>
        <v>0</v>
      </c>
      <c r="EX253" s="95" t="str">
        <f>IF(isNotAbleCollect(HEX2DEC($EV253),$EW253),"×","-")</f>
        <v>×</v>
      </c>
      <c r="EY253" s="96" t="str">
        <f>DEC2HEX(collectValue($ET253,HEX2DEC($EV253),HEX2DEC($EW253)),2)</f>
        <v>FF</v>
      </c>
    </row>
    <row r="254" spans="150:156" x14ac:dyDescent="0.15">
      <c r="ET254" s="93">
        <v>238</v>
      </c>
      <c r="EU254" s="94" t="str">
        <f>DEC2HEX($ET254,2)</f>
        <v>EE</v>
      </c>
      <c r="EV254" s="95" t="str">
        <f>DEC2HEX(syndrome($ET254,HEX2DEC($Y$33),HEX2DEC($Z$33),HEX2DEC($AA$33)),1)</f>
        <v>2</v>
      </c>
      <c r="EW254" s="95">
        <f>errpos(HEX2DEC($EV254),HEX2DEC($O$18),HEX2DEC($P$18),HEX2DEC($Q$18),HEX2DEC($R$18),HEX2DEC($S$18),HEX2DEC($T$18),HEX2DEC($U$18),HEX2DEC($V$18))</f>
        <v>0</v>
      </c>
      <c r="EX254" s="95" t="str">
        <f>IF(isNotAbleCollect(HEX2DEC($EV254),$EW254),"×","-")</f>
        <v>×</v>
      </c>
      <c r="EY254" s="96" t="str">
        <f>DEC2HEX(collectValue($ET254,HEX2DEC($EV254),HEX2DEC($EW254)),2)</f>
        <v>FF</v>
      </c>
    </row>
    <row r="255" spans="150:156" x14ac:dyDescent="0.15">
      <c r="ET255" s="93">
        <v>239</v>
      </c>
      <c r="EU255" s="94" t="str">
        <f>DEC2HEX($ET255,2)</f>
        <v>EF</v>
      </c>
      <c r="EV255" s="95" t="str">
        <f>DEC2HEX(syndrome($ET255,HEX2DEC($Y$33),HEX2DEC($Z$33),HEX2DEC($AA$33)),1)</f>
        <v>9</v>
      </c>
      <c r="EW255" s="95">
        <f>errpos(HEX2DEC($EV255),HEX2DEC($O$18),HEX2DEC($P$18),HEX2DEC($Q$18),HEX2DEC($R$18),HEX2DEC($S$18),HEX2DEC($T$18),HEX2DEC($U$18),HEX2DEC($V$18))</f>
        <v>5</v>
      </c>
      <c r="EX255" s="95" t="str">
        <f>IF(isNotAbleCollect(HEX2DEC($EV255),$EW255),"×","-")</f>
        <v>-</v>
      </c>
      <c r="EY255" s="96" t="str">
        <f>DEC2HEX(collectValue($ET255,HEX2DEC($EV255),HEX2DEC($EW255)),2)</f>
        <v>0F</v>
      </c>
    </row>
    <row r="256" spans="150:156" x14ac:dyDescent="0.15">
      <c r="ET256" s="93">
        <v>240</v>
      </c>
      <c r="EU256" s="94" t="str">
        <f>DEC2HEX($ET256,2)</f>
        <v>F0</v>
      </c>
      <c r="EV256" s="95" t="str">
        <f>DEC2HEX(syndrome($ET256,HEX2DEC($Y$33),HEX2DEC($Z$33),HEX2DEC($AA$33)),1)</f>
        <v>7</v>
      </c>
      <c r="EW256" s="95">
        <f>errpos(HEX2DEC($EV256),HEX2DEC($O$18),HEX2DEC($P$18),HEX2DEC($Q$18),HEX2DEC($R$18),HEX2DEC($S$18),HEX2DEC($T$18),HEX2DEC($U$18),HEX2DEC($V$18))</f>
        <v>0</v>
      </c>
      <c r="EX256" s="95" t="str">
        <f>IF(isNotAbleCollect(HEX2DEC($EV256),$EW256),"×","-")</f>
        <v>×</v>
      </c>
      <c r="EY256" s="96" t="str">
        <f>DEC2HEX(collectValue($ET256,HEX2DEC($EV256),HEX2DEC($EW256)),2)</f>
        <v>FF</v>
      </c>
    </row>
    <row r="257" spans="150:156" x14ac:dyDescent="0.15">
      <c r="ET257" s="93">
        <v>241</v>
      </c>
      <c r="EU257" s="94" t="str">
        <f>DEC2HEX($ET257,2)</f>
        <v>F1</v>
      </c>
      <c r="EV257" s="95" t="str">
        <f>DEC2HEX(syndrome($ET257,HEX2DEC($Y$33),HEX2DEC($Z$33),HEX2DEC($AA$33)),1)</f>
        <v>C</v>
      </c>
      <c r="EW257" s="95">
        <f>errpos(HEX2DEC($EV257),HEX2DEC($O$18),HEX2DEC($P$18),HEX2DEC($Q$18),HEX2DEC($R$18),HEX2DEC($S$18),HEX2DEC($T$18),HEX2DEC($U$18),HEX2DEC($V$18))</f>
        <v>7</v>
      </c>
      <c r="EX257" s="95" t="str">
        <f>IF(isNotAbleCollect(HEX2DEC($EV257),$EW257),"×","-")</f>
        <v>-</v>
      </c>
      <c r="EY257" s="96" t="str">
        <f>DEC2HEX(collectValue($ET257,HEX2DEC($EV257),HEX2DEC($EW257)),2)</f>
        <v>01</v>
      </c>
    </row>
    <row r="258" spans="150:156" x14ac:dyDescent="0.15">
      <c r="ET258" s="93">
        <v>242</v>
      </c>
      <c r="EU258" s="94" t="str">
        <f>DEC2HEX($ET258,2)</f>
        <v>F2</v>
      </c>
      <c r="EV258" s="95" t="str">
        <f>DEC2HEX(syndrome($ET258,HEX2DEC($Y$33),HEX2DEC($Z$33),HEX2DEC($AA$33)),1)</f>
        <v>9</v>
      </c>
      <c r="EW258" s="95">
        <f>errpos(HEX2DEC($EV258),HEX2DEC($O$18),HEX2DEC($P$18),HEX2DEC($Q$18),HEX2DEC($R$18),HEX2DEC($S$18),HEX2DEC($T$18),HEX2DEC($U$18),HEX2DEC($V$18))</f>
        <v>5</v>
      </c>
      <c r="EX258" s="95" t="str">
        <f>IF(isNotAbleCollect(HEX2DEC($EV258),$EW258),"×","-")</f>
        <v>-</v>
      </c>
      <c r="EY258" s="96" t="str">
        <f>DEC2HEX(collectValue($ET258,HEX2DEC($EV258),HEX2DEC($EW258)),2)</f>
        <v>02</v>
      </c>
    </row>
    <row r="259" spans="150:156" x14ac:dyDescent="0.15">
      <c r="ET259" s="93">
        <v>243</v>
      </c>
      <c r="EU259" s="94" t="str">
        <f>DEC2HEX($ET259,2)</f>
        <v>F3</v>
      </c>
      <c r="EV259" s="95" t="str">
        <f>DEC2HEX(syndrome($ET259,HEX2DEC($Y$33),HEX2DEC($Z$33),HEX2DEC($AA$33)),1)</f>
        <v>2</v>
      </c>
      <c r="EW259" s="95">
        <f>errpos(HEX2DEC($EV259),HEX2DEC($O$18),HEX2DEC($P$18),HEX2DEC($Q$18),HEX2DEC($R$18),HEX2DEC($S$18),HEX2DEC($T$18),HEX2DEC($U$18),HEX2DEC($V$18))</f>
        <v>0</v>
      </c>
      <c r="EX259" s="95" t="str">
        <f>IF(isNotAbleCollect(HEX2DEC($EV259),$EW259),"×","-")</f>
        <v>×</v>
      </c>
      <c r="EY259" s="96" t="str">
        <f>DEC2HEX(collectValue($ET259,HEX2DEC($EV259),HEX2DEC($EW259)),2)</f>
        <v>FF</v>
      </c>
    </row>
    <row r="260" spans="150:156" x14ac:dyDescent="0.15">
      <c r="ET260" s="93">
        <v>244</v>
      </c>
      <c r="EU260" s="94" t="str">
        <f>DEC2HEX($ET260,2)</f>
        <v>F4</v>
      </c>
      <c r="EV260" s="95" t="str">
        <f>DEC2HEX(syndrome($ET260,HEX2DEC($Y$33),HEX2DEC($Z$33),HEX2DEC($AA$33)),1)</f>
        <v>A</v>
      </c>
      <c r="EW260" s="95">
        <f>errpos(HEX2DEC($EV260),HEX2DEC($O$18),HEX2DEC($P$18),HEX2DEC($Q$18),HEX2DEC($R$18),HEX2DEC($S$18),HEX2DEC($T$18),HEX2DEC($U$18),HEX2DEC($V$18))</f>
        <v>6</v>
      </c>
      <c r="EX260" s="95" t="str">
        <f>IF(isNotAbleCollect(HEX2DEC($EV260),$EW260),"×","-")</f>
        <v>-</v>
      </c>
      <c r="EY260" s="96" t="str">
        <f>DEC2HEX(collectValue($ET260,HEX2DEC($EV260),HEX2DEC($EW260)),2)</f>
        <v>04</v>
      </c>
    </row>
    <row r="261" spans="150:156" x14ac:dyDescent="0.15">
      <c r="ET261" s="93">
        <v>245</v>
      </c>
      <c r="EU261" s="94" t="str">
        <f>DEC2HEX($ET261,2)</f>
        <v>F5</v>
      </c>
      <c r="EV261" s="95" t="str">
        <f>DEC2HEX(syndrome($ET261,HEX2DEC($Y$33),HEX2DEC($Z$33),HEX2DEC($AA$33)),1)</f>
        <v>1</v>
      </c>
      <c r="EW261" s="95">
        <f>errpos(HEX2DEC($EV261),HEX2DEC($O$18),HEX2DEC($P$18),HEX2DEC($Q$18),HEX2DEC($R$18),HEX2DEC($S$18),HEX2DEC($T$18),HEX2DEC($U$18),HEX2DEC($V$18))</f>
        <v>0</v>
      </c>
      <c r="EX261" s="95" t="str">
        <f>IF(isNotAbleCollect(HEX2DEC($EV261),$EW261),"×","-")</f>
        <v>×</v>
      </c>
      <c r="EY261" s="96" t="str">
        <f>DEC2HEX(collectValue($ET261,HEX2DEC($EV261),HEX2DEC($EW261)),2)</f>
        <v>FF</v>
      </c>
    </row>
    <row r="262" spans="150:156" x14ac:dyDescent="0.15">
      <c r="ET262" s="93">
        <v>246</v>
      </c>
      <c r="EU262" s="94" t="str">
        <f>DEC2HEX($ET262,2)</f>
        <v>F6</v>
      </c>
      <c r="EV262" s="95" t="str">
        <f>DEC2HEX(syndrome($ET262,HEX2DEC($Y$33),HEX2DEC($Z$33),HEX2DEC($AA$33)),1)</f>
        <v>4</v>
      </c>
      <c r="EW262" s="95">
        <f>errpos(HEX2DEC($EV262),HEX2DEC($O$18),HEX2DEC($P$18),HEX2DEC($Q$18),HEX2DEC($R$18),HEX2DEC($S$18),HEX2DEC($T$18),HEX2DEC($U$18),HEX2DEC($V$18))</f>
        <v>0</v>
      </c>
      <c r="EX262" s="95" t="str">
        <f>IF(isNotAbleCollect(HEX2DEC($EV262),$EW262),"×","-")</f>
        <v>×</v>
      </c>
      <c r="EY262" s="96" t="str">
        <f>DEC2HEX(collectValue($ET262,HEX2DEC($EV262),HEX2DEC($EW262)),2)</f>
        <v>FF</v>
      </c>
    </row>
    <row r="263" spans="150:156" x14ac:dyDescent="0.15">
      <c r="ET263" s="93">
        <v>247</v>
      </c>
      <c r="EU263" s="94" t="str">
        <f>DEC2HEX($ET263,2)</f>
        <v>F7</v>
      </c>
      <c r="EV263" s="95" t="str">
        <f>DEC2HEX(syndrome($ET263,HEX2DEC($Y$33),HEX2DEC($Z$33),HEX2DEC($AA$33)),1)</f>
        <v>F</v>
      </c>
      <c r="EW263" s="95">
        <f>errpos(HEX2DEC($EV263),HEX2DEC($O$18),HEX2DEC($P$18),HEX2DEC($Q$18),HEX2DEC($R$18),HEX2DEC($S$18),HEX2DEC($T$18),HEX2DEC($U$18),HEX2DEC($V$18))</f>
        <v>4</v>
      </c>
      <c r="EX263" s="95" t="str">
        <f>IF(isNotAbleCollect(HEX2DEC($EV263),$EW263),"×","-")</f>
        <v>-</v>
      </c>
      <c r="EY263" s="96" t="str">
        <f>DEC2HEX(collectValue($ET263,HEX2DEC($EV263),HEX2DEC($EW263)),2)</f>
        <v>0F</v>
      </c>
    </row>
    <row r="264" spans="150:156" x14ac:dyDescent="0.15">
      <c r="ET264" s="93">
        <v>248</v>
      </c>
      <c r="EU264" s="94" t="str">
        <f>DEC2HEX($ET264,2)</f>
        <v>F8</v>
      </c>
      <c r="EV264" s="95" t="str">
        <f>DEC2HEX(syndrome($ET264,HEX2DEC($Y$33),HEX2DEC($Z$33),HEX2DEC($AA$33)),1)</f>
        <v>8</v>
      </c>
      <c r="EW264" s="95">
        <f>errpos(HEX2DEC($EV264),HEX2DEC($O$18),HEX2DEC($P$18),HEX2DEC($Q$18),HEX2DEC($R$18),HEX2DEC($S$18),HEX2DEC($T$18),HEX2DEC($U$18),HEX2DEC($V$18))</f>
        <v>8</v>
      </c>
      <c r="EX264" s="95" t="str">
        <f>IF(isNotAbleCollect(HEX2DEC($EV264),$EW264),"×","-")</f>
        <v>-</v>
      </c>
      <c r="EY264" s="96" t="str">
        <f>DEC2HEX(collectValue($ET264,HEX2DEC($EV264),HEX2DEC($EW264)),2)</f>
        <v>08</v>
      </c>
    </row>
    <row r="265" spans="150:156" x14ac:dyDescent="0.15">
      <c r="ET265" s="93">
        <v>249</v>
      </c>
      <c r="EU265" s="94" t="str">
        <f>DEC2HEX($ET265,2)</f>
        <v>F9</v>
      </c>
      <c r="EV265" s="95" t="str">
        <f>DEC2HEX(syndrome($ET265,HEX2DEC($Y$33),HEX2DEC($Z$33),HEX2DEC($AA$33)),1)</f>
        <v>3</v>
      </c>
      <c r="EW265" s="95">
        <f>errpos(HEX2DEC($EV265),HEX2DEC($O$18),HEX2DEC($P$18),HEX2DEC($Q$18),HEX2DEC($R$18),HEX2DEC($S$18),HEX2DEC($T$18),HEX2DEC($U$18),HEX2DEC($V$18))</f>
        <v>0</v>
      </c>
      <c r="EX265" s="95" t="str">
        <f>IF(isNotAbleCollect(HEX2DEC($EV265),$EW265),"×","-")</f>
        <v>×</v>
      </c>
      <c r="EY265" s="96" t="str">
        <f>DEC2HEX(collectValue($ET265,HEX2DEC($EV265),HEX2DEC($EW265)),2)</f>
        <v>FF</v>
      </c>
    </row>
    <row r="266" spans="150:156" x14ac:dyDescent="0.15">
      <c r="ET266" s="93">
        <v>250</v>
      </c>
      <c r="EU266" s="94" t="str">
        <f>DEC2HEX($ET266,2)</f>
        <v>FA</v>
      </c>
      <c r="EV266" s="95" t="str">
        <f>DEC2HEX(syndrome($ET266,HEX2DEC($Y$33),HEX2DEC($Z$33),HEX2DEC($AA$33)),1)</f>
        <v>6</v>
      </c>
      <c r="EW266" s="95">
        <f>errpos(HEX2DEC($EV266),HEX2DEC($O$18),HEX2DEC($P$18),HEX2DEC($Q$18),HEX2DEC($R$18),HEX2DEC($S$18),HEX2DEC($T$18),HEX2DEC($U$18),HEX2DEC($V$18))</f>
        <v>0</v>
      </c>
      <c r="EX266" s="95" t="str">
        <f>IF(isNotAbleCollect(HEX2DEC($EV266),$EW266),"×","-")</f>
        <v>×</v>
      </c>
      <c r="EY266" s="96" t="str">
        <f>DEC2HEX(collectValue($ET266,HEX2DEC($EV266),HEX2DEC($EW266)),2)</f>
        <v>FF</v>
      </c>
    </row>
    <row r="267" spans="150:156" x14ac:dyDescent="0.15">
      <c r="ET267" s="93">
        <v>251</v>
      </c>
      <c r="EU267" s="94" t="str">
        <f>DEC2HEX($ET267,2)</f>
        <v>FB</v>
      </c>
      <c r="EV267" s="95" t="str">
        <f>DEC2HEX(syndrome($ET267,HEX2DEC($Y$33),HEX2DEC($Z$33),HEX2DEC($AA$33)),1)</f>
        <v>D</v>
      </c>
      <c r="EW267" s="95">
        <f>errpos(HEX2DEC($EV267),HEX2DEC($O$18),HEX2DEC($P$18),HEX2DEC($Q$18),HEX2DEC($R$18),HEX2DEC($S$18),HEX2DEC($T$18),HEX2DEC($U$18),HEX2DEC($V$18))</f>
        <v>3</v>
      </c>
      <c r="EX267" s="95" t="str">
        <f>IF(isNotAbleCollect(HEX2DEC($EV267),$EW267),"×","-")</f>
        <v>-</v>
      </c>
      <c r="EY267" s="96" t="str">
        <f>DEC2HEX(collectValue($ET267,HEX2DEC($EV267),HEX2DEC($EW267)),2)</f>
        <v>0F</v>
      </c>
    </row>
    <row r="268" spans="150:156" x14ac:dyDescent="0.15">
      <c r="ET268" s="93">
        <v>252</v>
      </c>
      <c r="EU268" s="94" t="str">
        <f>DEC2HEX($ET268,2)</f>
        <v>FC</v>
      </c>
      <c r="EV268" s="95" t="str">
        <f>DEC2HEX(syndrome($ET268,HEX2DEC($Y$33),HEX2DEC($Z$33),HEX2DEC($AA$33)),1)</f>
        <v>5</v>
      </c>
      <c r="EW268" s="95">
        <f>errpos(HEX2DEC($EV268),HEX2DEC($O$18),HEX2DEC($P$18),HEX2DEC($Q$18),HEX2DEC($R$18),HEX2DEC($S$18),HEX2DEC($T$18),HEX2DEC($U$18),HEX2DEC($V$18))</f>
        <v>0</v>
      </c>
      <c r="EX268" s="95" t="str">
        <f>IF(isNotAbleCollect(HEX2DEC($EV268),$EW268),"×","-")</f>
        <v>×</v>
      </c>
      <c r="EY268" s="96" t="str">
        <f>DEC2HEX(collectValue($ET268,HEX2DEC($EV268),HEX2DEC($EW268)),2)</f>
        <v>FF</v>
      </c>
    </row>
    <row r="269" spans="150:156" x14ac:dyDescent="0.15">
      <c r="ET269" s="93">
        <v>253</v>
      </c>
      <c r="EU269" s="94" t="str">
        <f>DEC2HEX($ET269,2)</f>
        <v>FD</v>
      </c>
      <c r="EV269" s="95" t="str">
        <f>DEC2HEX(syndrome($ET269,HEX2DEC($Y$33),HEX2DEC($Z$33),HEX2DEC($AA$33)),1)</f>
        <v>E</v>
      </c>
      <c r="EW269" s="95">
        <f>errpos(HEX2DEC($EV269),HEX2DEC($O$18),HEX2DEC($P$18),HEX2DEC($Q$18),HEX2DEC($R$18),HEX2DEC($S$18),HEX2DEC($T$18),HEX2DEC($U$18),HEX2DEC($V$18))</f>
        <v>2</v>
      </c>
      <c r="EX269" s="95" t="str">
        <f>IF(isNotAbleCollect(HEX2DEC($EV269),$EW269),"×","-")</f>
        <v>-</v>
      </c>
      <c r="EY269" s="96" t="str">
        <f>DEC2HEX(collectValue($ET269,HEX2DEC($EV269),HEX2DEC($EW269)),2)</f>
        <v>0F</v>
      </c>
    </row>
    <row r="270" spans="150:156" x14ac:dyDescent="0.15">
      <c r="ET270" s="93">
        <v>254</v>
      </c>
      <c r="EU270" s="94" t="str">
        <f>DEC2HEX($ET270,2)</f>
        <v>FE</v>
      </c>
      <c r="EV270" s="95" t="str">
        <f>DEC2HEX(syndrome($ET270,HEX2DEC($Y$33),HEX2DEC($Z$33),HEX2DEC($AA$33)),1)</f>
        <v>B</v>
      </c>
      <c r="EW270" s="95">
        <f>errpos(HEX2DEC($EV270),HEX2DEC($O$18),HEX2DEC($P$18),HEX2DEC($Q$18),HEX2DEC($R$18),HEX2DEC($S$18),HEX2DEC($T$18),HEX2DEC($U$18),HEX2DEC($V$18))</f>
        <v>1</v>
      </c>
      <c r="EX270" s="95" t="str">
        <f>IF(isNotAbleCollect(HEX2DEC($EV270),$EW270),"×","-")</f>
        <v>-</v>
      </c>
      <c r="EY270" s="96" t="str">
        <f>DEC2HEX(collectValue($ET270,HEX2DEC($EV270),HEX2DEC($EW270)),2)</f>
        <v>0F</v>
      </c>
    </row>
    <row r="271" spans="150:156" ht="12" thickBot="1" x14ac:dyDescent="0.2">
      <c r="ET271" s="101">
        <v>255</v>
      </c>
      <c r="EU271" s="102" t="str">
        <f>DEC2HEX($ET271,2)</f>
        <v>FF</v>
      </c>
      <c r="EV271" s="103" t="str">
        <f>DEC2HEX(syndrome($ET271,HEX2DEC($Y$33),HEX2DEC($Z$33),HEX2DEC($AA$33)),1)</f>
        <v>0</v>
      </c>
      <c r="EW271" s="103">
        <f>errpos(HEX2DEC($EV271),HEX2DEC($O$18),HEX2DEC($P$18),HEX2DEC($Q$18),HEX2DEC($R$18),HEX2DEC($S$18),HEX2DEC($T$18),HEX2DEC($U$18),HEX2DEC($V$18))</f>
        <v>0</v>
      </c>
      <c r="EX271" s="103" t="str">
        <f>IF(isNotAbleCollect(HEX2DEC($EV271),$EW271),"×","-")</f>
        <v>-</v>
      </c>
      <c r="EY271" s="104" t="str">
        <f>DEC2HEX(collectValue($ET271,HEX2DEC($EV271),HEX2DEC($EW271)),2)</f>
        <v>0F</v>
      </c>
      <c r="EZ271" s="90">
        <v>16</v>
      </c>
    </row>
  </sheetData>
  <mergeCells count="7">
    <mergeCell ref="FB10:FB15"/>
    <mergeCell ref="ET10:EU15"/>
    <mergeCell ref="EW10:EW15"/>
    <mergeCell ref="EX10:EX15"/>
    <mergeCell ref="EY10:EY15"/>
    <mergeCell ref="FA10:FA15"/>
    <mergeCell ref="EV10:EV15"/>
  </mergeCells>
  <phoneticPr fontId="1"/>
  <conditionalFormatting sqref="EB20:EQ20">
    <cfRule type="cellIs" dxfId="13" priority="13" operator="notEqual">
      <formula>"0"</formula>
    </cfRule>
  </conditionalFormatting>
  <conditionalFormatting sqref="EB21:EQ21">
    <cfRule type="cellIs" dxfId="12" priority="14" operator="notEqual">
      <formula>0</formula>
    </cfRule>
  </conditionalFormatting>
  <conditionalFormatting sqref="CF14:CF29">
    <cfRule type="cellIs" dxfId="11" priority="12" operator="equal">
      <formula>"NG!"</formula>
    </cfRule>
  </conditionalFormatting>
  <conditionalFormatting sqref="EB22:EQ22">
    <cfRule type="cellIs" dxfId="10" priority="11" operator="equal">
      <formula>"×"</formula>
    </cfRule>
  </conditionalFormatting>
  <conditionalFormatting sqref="CJ18:CY18">
    <cfRule type="cellIs" dxfId="9" priority="10" operator="notEqual">
      <formula>"0"</formula>
    </cfRule>
  </conditionalFormatting>
  <conditionalFormatting sqref="CJ19:CY19">
    <cfRule type="cellIs" dxfId="8" priority="9" operator="notEqual">
      <formula>"-"</formula>
    </cfRule>
  </conditionalFormatting>
  <conditionalFormatting sqref="CJ20:CY20">
    <cfRule type="cellIs" dxfId="7" priority="8" operator="equal">
      <formula>"×"</formula>
    </cfRule>
  </conditionalFormatting>
  <conditionalFormatting sqref="EB23:EQ23">
    <cfRule type="cellIs" dxfId="6" priority="7" operator="equal">
      <formula>"FF"</formula>
    </cfRule>
  </conditionalFormatting>
  <conditionalFormatting sqref="EV16:EV271">
    <cfRule type="cellIs" dxfId="5" priority="6" operator="notEqual">
      <formula>"0"</formula>
    </cfRule>
  </conditionalFormatting>
  <conditionalFormatting sqref="EW16:EW271">
    <cfRule type="cellIs" dxfId="4" priority="3" operator="notEqual">
      <formula>0</formula>
    </cfRule>
  </conditionalFormatting>
  <conditionalFormatting sqref="EX16:EX271">
    <cfRule type="cellIs" dxfId="3" priority="2" operator="equal">
      <formula>"×"</formula>
    </cfRule>
  </conditionalFormatting>
  <conditionalFormatting sqref="EY16:EY271">
    <cfRule type="cellIs" dxfId="2" priority="1" operator="equal">
      <formula>"FF"</formula>
    </cfRule>
  </conditionalFormatting>
  <conditionalFormatting sqref="ET16:EY271">
    <cfRule type="expression" dxfId="1" priority="4">
      <formula>AND($EV16="0",$EW16=0)</formula>
    </cfRule>
    <cfRule type="expression" dxfId="0" priority="5">
      <formula>$EX16="×"</formula>
    </cfRule>
  </conditionalFormatting>
  <hyperlinks>
    <hyperlink ref="A36" r:id="rId1"/>
    <hyperlink ref="A10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ハミング符号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板垣衛</dc:creator>
  <cp:lastModifiedBy>板垣衛</cp:lastModifiedBy>
  <dcterms:created xsi:type="dcterms:W3CDTF">2014-05-08T18:58:38Z</dcterms:created>
  <dcterms:modified xsi:type="dcterms:W3CDTF">2014-05-10T03:18:39Z</dcterms:modified>
</cp:coreProperties>
</file>