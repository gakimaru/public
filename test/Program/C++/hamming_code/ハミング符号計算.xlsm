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Work\GitHub\public\test\Program\C++\hamming_code\"/>
    </mc:Choice>
  </mc:AlternateContent>
  <bookViews>
    <workbookView xWindow="0" yWindow="0" windowWidth="25365" windowHeight="10410"/>
  </bookViews>
  <sheets>
    <sheet name="ハミング符号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18" i="1" l="1"/>
  <c r="U18" i="1"/>
  <c r="T18" i="1"/>
  <c r="S18" i="1"/>
  <c r="R18" i="1"/>
  <c r="Q18" i="1"/>
  <c r="P18" i="1"/>
  <c r="O18" i="1"/>
  <c r="CA14" i="1"/>
  <c r="EB17" i="1" s="1"/>
  <c r="AA33" i="1"/>
  <c r="Z33" i="1"/>
  <c r="Y33" i="1"/>
  <c r="AP29" i="1"/>
  <c r="AP28" i="1"/>
  <c r="AP27" i="1"/>
  <c r="AP26" i="1"/>
  <c r="AP25" i="1"/>
  <c r="AP24" i="1"/>
  <c r="AP23" i="1"/>
  <c r="AP22" i="1"/>
  <c r="AP21" i="1"/>
  <c r="AP20" i="1"/>
  <c r="AP19" i="1"/>
  <c r="AP18" i="1"/>
  <c r="AP17" i="1"/>
  <c r="AP16" i="1"/>
  <c r="AP15" i="1"/>
  <c r="AP14" i="1"/>
  <c r="E7" i="1"/>
  <c r="DY17" i="1"/>
  <c r="DQ17" i="1"/>
  <c r="DY16" i="1"/>
  <c r="DQ16" i="1"/>
  <c r="DY15" i="1"/>
  <c r="DQ15" i="1"/>
  <c r="DY14" i="1"/>
  <c r="DQ14" i="1"/>
  <c r="DY13" i="1"/>
  <c r="DQ13" i="1"/>
  <c r="DY12" i="1"/>
  <c r="DQ12" i="1"/>
  <c r="DY11" i="1"/>
  <c r="DQ11" i="1"/>
  <c r="DR14" i="1"/>
  <c r="DJ13" i="1"/>
  <c r="DX17" i="1"/>
  <c r="DP17" i="1"/>
  <c r="DX16" i="1"/>
  <c r="DP16" i="1"/>
  <c r="DX15" i="1"/>
  <c r="DP15" i="1"/>
  <c r="DX14" i="1"/>
  <c r="DP14" i="1"/>
  <c r="DX13" i="1"/>
  <c r="DP13" i="1"/>
  <c r="DX12" i="1"/>
  <c r="DP12" i="1"/>
  <c r="DX11" i="1"/>
  <c r="DP11" i="1"/>
  <c r="DJ15" i="1"/>
  <c r="DJ12" i="1"/>
  <c r="DW17" i="1"/>
  <c r="DO17" i="1"/>
  <c r="DW16" i="1"/>
  <c r="DO16" i="1"/>
  <c r="DW15" i="1"/>
  <c r="DO15" i="1"/>
  <c r="DW14" i="1"/>
  <c r="DO14" i="1"/>
  <c r="DW13" i="1"/>
  <c r="DO13" i="1"/>
  <c r="DW12" i="1"/>
  <c r="DO12" i="1"/>
  <c r="DW11" i="1"/>
  <c r="DO11" i="1"/>
  <c r="DR15" i="1"/>
  <c r="DR12" i="1"/>
  <c r="DV17" i="1"/>
  <c r="DN17" i="1"/>
  <c r="DV16" i="1"/>
  <c r="DN16" i="1"/>
  <c r="DV15" i="1"/>
  <c r="DN15" i="1"/>
  <c r="DV14" i="1"/>
  <c r="DN14" i="1"/>
  <c r="DV13" i="1"/>
  <c r="DN13" i="1"/>
  <c r="DV12" i="1"/>
  <c r="DN12" i="1"/>
  <c r="DV11" i="1"/>
  <c r="DN11" i="1"/>
  <c r="DJ16" i="1"/>
  <c r="DR11" i="1"/>
  <c r="DU17" i="1"/>
  <c r="DM17" i="1"/>
  <c r="DU16" i="1"/>
  <c r="DM16" i="1"/>
  <c r="DU15" i="1"/>
  <c r="DM15" i="1"/>
  <c r="DU14" i="1"/>
  <c r="DM14" i="1"/>
  <c r="DU13" i="1"/>
  <c r="DM13" i="1"/>
  <c r="DU12" i="1"/>
  <c r="DM12" i="1"/>
  <c r="DU11" i="1"/>
  <c r="DM11" i="1"/>
  <c r="DR16" i="1"/>
  <c r="DR13" i="1"/>
  <c r="DT17" i="1"/>
  <c r="DL17" i="1"/>
  <c r="DT16" i="1"/>
  <c r="DL16" i="1"/>
  <c r="DT15" i="1"/>
  <c r="DL15" i="1"/>
  <c r="DT14" i="1"/>
  <c r="DL14" i="1"/>
  <c r="DT13" i="1"/>
  <c r="DL13" i="1"/>
  <c r="DT12" i="1"/>
  <c r="DL12" i="1"/>
  <c r="DT11" i="1"/>
  <c r="DL11" i="1"/>
  <c r="DJ17" i="1"/>
  <c r="DJ11" i="1"/>
  <c r="DS17" i="1"/>
  <c r="DK17" i="1"/>
  <c r="DS16" i="1"/>
  <c r="DK16" i="1"/>
  <c r="DS15" i="1"/>
  <c r="DK15" i="1"/>
  <c r="DS14" i="1"/>
  <c r="DK14" i="1"/>
  <c r="DS13" i="1"/>
  <c r="DK13" i="1"/>
  <c r="DS12" i="1"/>
  <c r="DK12" i="1"/>
  <c r="DS11" i="1"/>
  <c r="DK11" i="1"/>
  <c r="DR17" i="1"/>
  <c r="DJ14" i="1"/>
  <c r="R28" i="1" l="1"/>
  <c r="Q28" i="1"/>
  <c r="P28" i="1"/>
  <c r="O28" i="1"/>
  <c r="R27" i="1"/>
  <c r="Q27" i="1"/>
  <c r="P27" i="1"/>
  <c r="O27" i="1"/>
  <c r="R26" i="1"/>
  <c r="Q26" i="1"/>
  <c r="P26" i="1"/>
  <c r="O26" i="1"/>
  <c r="R25" i="1"/>
  <c r="Q25" i="1"/>
  <c r="P25" i="1"/>
  <c r="O25" i="1"/>
  <c r="U16" i="1"/>
  <c r="T16" i="1"/>
  <c r="S16" i="1"/>
  <c r="U15" i="1"/>
  <c r="T15" i="1"/>
  <c r="S15" i="1"/>
  <c r="U14" i="1"/>
  <c r="T14" i="1"/>
  <c r="S14" i="1"/>
  <c r="R16" i="1"/>
  <c r="Q16" i="1"/>
  <c r="P16" i="1"/>
  <c r="O16" i="1"/>
  <c r="R15" i="1"/>
  <c r="Q15" i="1"/>
  <c r="P15" i="1"/>
  <c r="O15" i="1"/>
  <c r="R14" i="1"/>
  <c r="Q14" i="1"/>
  <c r="P14" i="1"/>
  <c r="O14" i="1"/>
  <c r="K28" i="1"/>
  <c r="U28" i="1" s="1"/>
  <c r="J28" i="1"/>
  <c r="T28" i="1" s="1"/>
  <c r="I28" i="1"/>
  <c r="S28" i="1" s="1"/>
  <c r="K27" i="1"/>
  <c r="U27" i="1" s="1"/>
  <c r="J27" i="1"/>
  <c r="T27" i="1" s="1"/>
  <c r="I27" i="1"/>
  <c r="S27" i="1" s="1"/>
  <c r="K26" i="1"/>
  <c r="U26" i="1" s="1"/>
  <c r="J26" i="1"/>
  <c r="T26" i="1" s="1"/>
  <c r="I26" i="1"/>
  <c r="S26" i="1" s="1"/>
  <c r="K25" i="1"/>
  <c r="U25" i="1" s="1"/>
  <c r="J25" i="1"/>
  <c r="T25" i="1" s="1"/>
  <c r="I25" i="1"/>
  <c r="S25" i="1" s="1"/>
  <c r="E41" i="1"/>
  <c r="D41" i="1"/>
  <c r="C41" i="1"/>
  <c r="B41" i="1"/>
  <c r="E40" i="1"/>
  <c r="D40" i="1"/>
  <c r="C40" i="1"/>
  <c r="B40" i="1"/>
  <c r="E39" i="1"/>
  <c r="D39" i="1"/>
  <c r="C39" i="1"/>
  <c r="B39" i="1"/>
  <c r="BF66" i="1"/>
  <c r="BE66" i="1"/>
  <c r="BD66" i="1"/>
  <c r="BC66" i="1"/>
  <c r="BB66" i="1"/>
  <c r="BA66" i="1"/>
  <c r="AZ66" i="1"/>
  <c r="AY66" i="1"/>
  <c r="AX66" i="1"/>
  <c r="AW66" i="1"/>
  <c r="AV66" i="1"/>
  <c r="AU66" i="1"/>
  <c r="AT66" i="1"/>
  <c r="AS66" i="1"/>
  <c r="AR66" i="1"/>
  <c r="AQ66" i="1"/>
  <c r="BF65" i="1"/>
  <c r="BE65" i="1"/>
  <c r="BD65" i="1"/>
  <c r="BC65" i="1"/>
  <c r="BB65" i="1"/>
  <c r="BA65" i="1"/>
  <c r="AZ65" i="1"/>
  <c r="AY65" i="1"/>
  <c r="AX65" i="1"/>
  <c r="AW65" i="1"/>
  <c r="AV65" i="1"/>
  <c r="AU65" i="1"/>
  <c r="AT65" i="1"/>
  <c r="AS65" i="1"/>
  <c r="AR65" i="1"/>
  <c r="AQ65" i="1"/>
  <c r="BF64" i="1"/>
  <c r="BE64" i="1"/>
  <c r="BD64" i="1"/>
  <c r="BC64" i="1"/>
  <c r="BB64" i="1"/>
  <c r="BA64" i="1"/>
  <c r="AZ64" i="1"/>
  <c r="AY64" i="1"/>
  <c r="AX64" i="1"/>
  <c r="AW64" i="1"/>
  <c r="AV64" i="1"/>
  <c r="AU64" i="1"/>
  <c r="AT64" i="1"/>
  <c r="AS64" i="1"/>
  <c r="AR64" i="1"/>
  <c r="AQ64" i="1"/>
  <c r="BF63" i="1"/>
  <c r="BE63" i="1"/>
  <c r="BD63" i="1"/>
  <c r="BC63" i="1"/>
  <c r="BB63" i="1"/>
  <c r="BA63" i="1"/>
  <c r="AZ63" i="1"/>
  <c r="AY63" i="1"/>
  <c r="AX63" i="1"/>
  <c r="AW63" i="1"/>
  <c r="AV63" i="1"/>
  <c r="AU63" i="1"/>
  <c r="AT63" i="1"/>
  <c r="AS63" i="1"/>
  <c r="AR63" i="1"/>
  <c r="AQ63" i="1"/>
  <c r="AK43" i="1"/>
  <c r="AK42" i="1"/>
  <c r="W61" i="1"/>
  <c r="AF61" i="1" s="1"/>
  <c r="V61" i="1"/>
  <c r="AE61" i="1" s="1"/>
  <c r="U61" i="1"/>
  <c r="AD61" i="1" s="1"/>
  <c r="T61" i="1"/>
  <c r="AC61" i="1" s="1"/>
  <c r="W60" i="1"/>
  <c r="AF60" i="1" s="1"/>
  <c r="V60" i="1"/>
  <c r="AE60" i="1" s="1"/>
  <c r="U60" i="1"/>
  <c r="AD60" i="1" s="1"/>
  <c r="T60" i="1"/>
  <c r="AC60" i="1" s="1"/>
  <c r="W59" i="1"/>
  <c r="AF59" i="1" s="1"/>
  <c r="V59" i="1"/>
  <c r="AE59" i="1" s="1"/>
  <c r="U59" i="1"/>
  <c r="AD59" i="1" s="1"/>
  <c r="T59" i="1"/>
  <c r="AC59" i="1" s="1"/>
  <c r="W58" i="1"/>
  <c r="AF58" i="1" s="1"/>
  <c r="V58" i="1"/>
  <c r="AE58" i="1" s="1"/>
  <c r="U58" i="1"/>
  <c r="AD58" i="1" s="1"/>
  <c r="T58" i="1"/>
  <c r="AC58" i="1" s="1"/>
  <c r="W57" i="1"/>
  <c r="AF57" i="1" s="1"/>
  <c r="V57" i="1"/>
  <c r="AE57" i="1" s="1"/>
  <c r="U57" i="1"/>
  <c r="AD57" i="1" s="1"/>
  <c r="T57" i="1"/>
  <c r="AC57" i="1" s="1"/>
  <c r="W56" i="1"/>
  <c r="AF56" i="1" s="1"/>
  <c r="V56" i="1"/>
  <c r="AE56" i="1" s="1"/>
  <c r="U56" i="1"/>
  <c r="AD56" i="1" s="1"/>
  <c r="T56" i="1"/>
  <c r="AC56" i="1" s="1"/>
  <c r="W55" i="1"/>
  <c r="AF55" i="1" s="1"/>
  <c r="V55" i="1"/>
  <c r="AE55" i="1" s="1"/>
  <c r="U55" i="1"/>
  <c r="AD55" i="1" s="1"/>
  <c r="T55" i="1"/>
  <c r="AC55" i="1" s="1"/>
  <c r="W54" i="1"/>
  <c r="AF54" i="1" s="1"/>
  <c r="V54" i="1"/>
  <c r="AE54" i="1" s="1"/>
  <c r="U54" i="1"/>
  <c r="AD54" i="1" s="1"/>
  <c r="T54" i="1"/>
  <c r="AC54" i="1" s="1"/>
  <c r="W53" i="1"/>
  <c r="AF53" i="1" s="1"/>
  <c r="V53" i="1"/>
  <c r="AE53" i="1" s="1"/>
  <c r="U53" i="1"/>
  <c r="AD53" i="1" s="1"/>
  <c r="T53" i="1"/>
  <c r="AC53" i="1" s="1"/>
  <c r="W52" i="1"/>
  <c r="AF52" i="1" s="1"/>
  <c r="V52" i="1"/>
  <c r="AE52" i="1" s="1"/>
  <c r="U52" i="1"/>
  <c r="AD52" i="1" s="1"/>
  <c r="T52" i="1"/>
  <c r="AC52" i="1" s="1"/>
  <c r="W51" i="1"/>
  <c r="AF51" i="1" s="1"/>
  <c r="V51" i="1"/>
  <c r="AE51" i="1" s="1"/>
  <c r="U51" i="1"/>
  <c r="AD51" i="1" s="1"/>
  <c r="T51" i="1"/>
  <c r="AC51" i="1" s="1"/>
  <c r="W50" i="1"/>
  <c r="AF50" i="1" s="1"/>
  <c r="V50" i="1"/>
  <c r="AE50" i="1" s="1"/>
  <c r="U50" i="1"/>
  <c r="AD50" i="1" s="1"/>
  <c r="T50" i="1"/>
  <c r="AC50" i="1" s="1"/>
  <c r="W49" i="1"/>
  <c r="AF49" i="1" s="1"/>
  <c r="V49" i="1"/>
  <c r="AE49" i="1" s="1"/>
  <c r="U49" i="1"/>
  <c r="AD49" i="1" s="1"/>
  <c r="T49" i="1"/>
  <c r="AC49" i="1" s="1"/>
  <c r="W48" i="1"/>
  <c r="AF48" i="1" s="1"/>
  <c r="V48" i="1"/>
  <c r="AE48" i="1" s="1"/>
  <c r="U48" i="1"/>
  <c r="AD48" i="1" s="1"/>
  <c r="T48" i="1"/>
  <c r="AC48" i="1" s="1"/>
  <c r="W47" i="1"/>
  <c r="AF47" i="1" s="1"/>
  <c r="V47" i="1"/>
  <c r="AE47" i="1" s="1"/>
  <c r="U47" i="1"/>
  <c r="AD47" i="1" s="1"/>
  <c r="T47" i="1"/>
  <c r="AC47" i="1" s="1"/>
  <c r="W46" i="1"/>
  <c r="AF46" i="1" s="1"/>
  <c r="V46" i="1"/>
  <c r="AE46" i="1" s="1"/>
  <c r="U46" i="1"/>
  <c r="AD46" i="1" s="1"/>
  <c r="T46" i="1"/>
  <c r="AC46" i="1" s="1"/>
  <c r="O29" i="1"/>
  <c r="BC14" i="1"/>
  <c r="BL25" i="1" s="1"/>
  <c r="BU25" i="1" s="1"/>
  <c r="EM11" i="1" s="1"/>
  <c r="BA14" i="1"/>
  <c r="BL23" i="1" s="1"/>
  <c r="BU23" i="1" s="1"/>
  <c r="EK11" i="1" s="1"/>
  <c r="AZ14" i="1"/>
  <c r="AW14" i="1"/>
  <c r="BL19" i="1" s="1"/>
  <c r="BU19" i="1" s="1"/>
  <c r="EG11" i="1" s="1"/>
  <c r="AU14" i="1"/>
  <c r="BL17" i="1" s="1"/>
  <c r="BU17" i="1" s="1"/>
  <c r="EE11" i="1" s="1"/>
  <c r="AS14" i="1"/>
  <c r="BL15" i="1" s="1"/>
  <c r="BU15" i="1" s="1"/>
  <c r="EC11" i="1" s="1"/>
  <c r="BG15" i="1" l="1"/>
  <c r="BM29" i="1" s="1"/>
  <c r="BV29" i="1" s="1"/>
  <c r="EQ12" i="1" s="1"/>
  <c r="BA19" i="1"/>
  <c r="BQ23" i="1" s="1"/>
  <c r="BZ23" i="1" s="1"/>
  <c r="EK16" i="1" s="1"/>
  <c r="AW20" i="1"/>
  <c r="BR19" i="1" s="1"/>
  <c r="CA19" i="1" s="1"/>
  <c r="EG17" i="1" s="1"/>
  <c r="AT20" i="1"/>
  <c r="BR16" i="1" s="1"/>
  <c r="CA16" i="1" s="1"/>
  <c r="ED17" i="1" s="1"/>
  <c r="AZ20" i="1"/>
  <c r="BR22" i="1" s="1"/>
  <c r="CA22" i="1" s="1"/>
  <c r="EJ17" i="1" s="1"/>
  <c r="AX19" i="1"/>
  <c r="BQ20" i="1" s="1"/>
  <c r="BZ20" i="1" s="1"/>
  <c r="EH16" i="1" s="1"/>
  <c r="AV19" i="1"/>
  <c r="BQ18" i="1" s="1"/>
  <c r="BZ18" i="1" s="1"/>
  <c r="EF16" i="1" s="1"/>
  <c r="AV18" i="1"/>
  <c r="BP18" i="1" s="1"/>
  <c r="BY18" i="1" s="1"/>
  <c r="EF15" i="1" s="1"/>
  <c r="BD18" i="1"/>
  <c r="BP26" i="1" s="1"/>
  <c r="BY26" i="1" s="1"/>
  <c r="EN15" i="1" s="1"/>
  <c r="AU18" i="1"/>
  <c r="BP17" i="1" s="1"/>
  <c r="BY17" i="1" s="1"/>
  <c r="EE15" i="1" s="1"/>
  <c r="AX18" i="1"/>
  <c r="BP20" i="1" s="1"/>
  <c r="BY20" i="1" s="1"/>
  <c r="EH15" i="1" s="1"/>
  <c r="AT19" i="1"/>
  <c r="BQ16" i="1" s="1"/>
  <c r="BZ16" i="1" s="1"/>
  <c r="ED16" i="1" s="1"/>
  <c r="BG19" i="1"/>
  <c r="BQ29" i="1" s="1"/>
  <c r="BZ29" i="1" s="1"/>
  <c r="EQ16" i="1" s="1"/>
  <c r="BC20" i="1"/>
  <c r="BR25" i="1" s="1"/>
  <c r="CA25" i="1" s="1"/>
  <c r="EM17" i="1" s="1"/>
  <c r="AY19" i="1"/>
  <c r="BQ21" i="1" s="1"/>
  <c r="BZ21" i="1" s="1"/>
  <c r="EI16" i="1" s="1"/>
  <c r="BD19" i="1"/>
  <c r="BQ26" i="1" s="1"/>
  <c r="BZ26" i="1" s="1"/>
  <c r="EN16" i="1" s="1"/>
  <c r="AZ15" i="1"/>
  <c r="BM22" i="1" s="1"/>
  <c r="BV22" i="1" s="1"/>
  <c r="EJ12" i="1" s="1"/>
  <c r="BD14" i="1"/>
  <c r="BL26" i="1" s="1"/>
  <c r="BU26" i="1" s="1"/>
  <c r="EN11" i="1" s="1"/>
  <c r="AS19" i="1"/>
  <c r="BQ15" i="1" s="1"/>
  <c r="BZ15" i="1" s="1"/>
  <c r="EC16" i="1" s="1"/>
  <c r="BG20" i="1"/>
  <c r="BR29" i="1" s="1"/>
  <c r="CA29" i="1" s="1"/>
  <c r="EQ17" i="1" s="1"/>
  <c r="AU20" i="1"/>
  <c r="BR17" i="1" s="1"/>
  <c r="CA17" i="1" s="1"/>
  <c r="EE17" i="1" s="1"/>
  <c r="AX20" i="1"/>
  <c r="BR20" i="1" s="1"/>
  <c r="CA20" i="1" s="1"/>
  <c r="EH17" i="1" s="1"/>
  <c r="BA20" i="1"/>
  <c r="BR23" i="1" s="1"/>
  <c r="CA23" i="1" s="1"/>
  <c r="EK17" i="1" s="1"/>
  <c r="BB20" i="1"/>
  <c r="BR24" i="1" s="1"/>
  <c r="CA24" i="1" s="1"/>
  <c r="EL17" i="1" s="1"/>
  <c r="BE19" i="1"/>
  <c r="BQ27" i="1" s="1"/>
  <c r="BZ27" i="1" s="1"/>
  <c r="EO16" i="1" s="1"/>
  <c r="AY20" i="1"/>
  <c r="BR21" i="1" s="1"/>
  <c r="CA21" i="1" s="1"/>
  <c r="EI17" i="1" s="1"/>
  <c r="AS20" i="1"/>
  <c r="BR15" i="1" s="1"/>
  <c r="CA15" i="1" s="1"/>
  <c r="EC17" i="1" s="1"/>
  <c r="AV20" i="1"/>
  <c r="BR18" i="1" s="1"/>
  <c r="CA18" i="1" s="1"/>
  <c r="EF17" i="1" s="1"/>
  <c r="AZ18" i="1"/>
  <c r="BP22" i="1" s="1"/>
  <c r="BY22" i="1" s="1"/>
  <c r="EJ15" i="1" s="1"/>
  <c r="BF20" i="1"/>
  <c r="BR28" i="1" s="1"/>
  <c r="CA28" i="1" s="1"/>
  <c r="EP17" i="1" s="1"/>
  <c r="BD20" i="1"/>
  <c r="BR26" i="1" s="1"/>
  <c r="CA26" i="1" s="1"/>
  <c r="EN17" i="1" s="1"/>
  <c r="AW18" i="1"/>
  <c r="BP19" i="1" s="1"/>
  <c r="BY19" i="1" s="1"/>
  <c r="EG15" i="1" s="1"/>
  <c r="BB19" i="1"/>
  <c r="BQ24" i="1" s="1"/>
  <c r="BZ24" i="1" s="1"/>
  <c r="EL16" i="1" s="1"/>
  <c r="BE18" i="1"/>
  <c r="BP27" i="1" s="1"/>
  <c r="BY27" i="1" s="1"/>
  <c r="EO15" i="1" s="1"/>
  <c r="T29" i="1"/>
  <c r="AW19" i="1"/>
  <c r="BQ19" i="1" s="1"/>
  <c r="BZ19" i="1" s="1"/>
  <c r="EG16" i="1" s="1"/>
  <c r="U29" i="1"/>
  <c r="AU19" i="1"/>
  <c r="BQ17" i="1" s="1"/>
  <c r="BZ17" i="1" s="1"/>
  <c r="EE16" i="1" s="1"/>
  <c r="BE20" i="1"/>
  <c r="BR27" i="1" s="1"/>
  <c r="CA27" i="1" s="1"/>
  <c r="EO17" i="1" s="1"/>
  <c r="BF18" i="1"/>
  <c r="BP28" i="1" s="1"/>
  <c r="BY28" i="1" s="1"/>
  <c r="EP15" i="1" s="1"/>
  <c r="AZ19" i="1"/>
  <c r="BQ22" i="1" s="1"/>
  <c r="BZ22" i="1" s="1"/>
  <c r="EJ16" i="1" s="1"/>
  <c r="BC19" i="1"/>
  <c r="BQ25" i="1" s="1"/>
  <c r="BZ25" i="1" s="1"/>
  <c r="EM16" i="1" s="1"/>
  <c r="BF19" i="1"/>
  <c r="BQ28" i="1" s="1"/>
  <c r="BZ28" i="1" s="1"/>
  <c r="EP16" i="1" s="1"/>
  <c r="AS18" i="1"/>
  <c r="BP15" i="1" s="1"/>
  <c r="BY15" i="1" s="1"/>
  <c r="EC15" i="1" s="1"/>
  <c r="BB18" i="1"/>
  <c r="BP24" i="1" s="1"/>
  <c r="BY24" i="1" s="1"/>
  <c r="EL15" i="1" s="1"/>
  <c r="BG18" i="1"/>
  <c r="BP29" i="1" s="1"/>
  <c r="BY29" i="1" s="1"/>
  <c r="EQ15" i="1" s="1"/>
  <c r="AT18" i="1"/>
  <c r="BP16" i="1" s="1"/>
  <c r="BY16" i="1" s="1"/>
  <c r="ED15" i="1" s="1"/>
  <c r="AY18" i="1"/>
  <c r="BP21" i="1" s="1"/>
  <c r="BY21" i="1" s="1"/>
  <c r="EI15" i="1" s="1"/>
  <c r="BC18" i="1"/>
  <c r="BP25" i="1" s="1"/>
  <c r="BY25" i="1" s="1"/>
  <c r="EM15" i="1" s="1"/>
  <c r="S29" i="1"/>
  <c r="BA18" i="1"/>
  <c r="BP23" i="1" s="1"/>
  <c r="BY23" i="1" s="1"/>
  <c r="EK15" i="1" s="1"/>
  <c r="AX15" i="1"/>
  <c r="BM20" i="1" s="1"/>
  <c r="BV20" i="1" s="1"/>
  <c r="EH12" i="1" s="1"/>
  <c r="BD15" i="1"/>
  <c r="BM26" i="1" s="1"/>
  <c r="BV26" i="1" s="1"/>
  <c r="EN12" i="1" s="1"/>
  <c r="BF15" i="1"/>
  <c r="BM28" i="1" s="1"/>
  <c r="BV28" i="1" s="1"/>
  <c r="EP12" i="1" s="1"/>
  <c r="AW15" i="1"/>
  <c r="BM19" i="1" s="1"/>
  <c r="BV19" i="1" s="1"/>
  <c r="EG12" i="1" s="1"/>
  <c r="AY15" i="1"/>
  <c r="BM21" i="1" s="1"/>
  <c r="BV21" i="1" s="1"/>
  <c r="EI12" i="1" s="1"/>
  <c r="P29" i="1"/>
  <c r="AS15" i="1"/>
  <c r="BM15" i="1" s="1"/>
  <c r="BV15" i="1" s="1"/>
  <c r="EC12" i="1" s="1"/>
  <c r="BB15" i="1"/>
  <c r="BM24" i="1" s="1"/>
  <c r="BV24" i="1" s="1"/>
  <c r="EL12" i="1" s="1"/>
  <c r="AU15" i="1"/>
  <c r="BM17" i="1" s="1"/>
  <c r="BV17" i="1" s="1"/>
  <c r="EE12" i="1" s="1"/>
  <c r="AT15" i="1"/>
  <c r="BM16" i="1" s="1"/>
  <c r="BV16" i="1" s="1"/>
  <c r="ED12" i="1" s="1"/>
  <c r="BA15" i="1"/>
  <c r="BM23" i="1" s="1"/>
  <c r="BV23" i="1" s="1"/>
  <c r="EK12" i="1" s="1"/>
  <c r="AV15" i="1"/>
  <c r="BM18" i="1" s="1"/>
  <c r="BV18" i="1" s="1"/>
  <c r="EF12" i="1" s="1"/>
  <c r="BC15" i="1"/>
  <c r="BM25" i="1" s="1"/>
  <c r="BV25" i="1" s="1"/>
  <c r="EM12" i="1" s="1"/>
  <c r="BE15" i="1"/>
  <c r="BM27" i="1" s="1"/>
  <c r="BV27" i="1" s="1"/>
  <c r="EO12" i="1" s="1"/>
  <c r="AX14" i="1"/>
  <c r="BL20" i="1" s="1"/>
  <c r="BU20" i="1" s="1"/>
  <c r="EH11" i="1" s="1"/>
  <c r="BF14" i="1"/>
  <c r="BL28" i="1" s="1"/>
  <c r="BU28" i="1" s="1"/>
  <c r="EP11" i="1" s="1"/>
  <c r="AT14" i="1"/>
  <c r="BL16" i="1" s="1"/>
  <c r="BU16" i="1" s="1"/>
  <c r="ED11" i="1" s="1"/>
  <c r="BB14" i="1"/>
  <c r="BL24" i="1" s="1"/>
  <c r="BU24" i="1" s="1"/>
  <c r="EL11" i="1" s="1"/>
  <c r="BE14" i="1"/>
  <c r="BL27" i="1" s="1"/>
  <c r="BU27" i="1" s="1"/>
  <c r="EO11" i="1" s="1"/>
  <c r="AY14" i="1"/>
  <c r="BL21" i="1" s="1"/>
  <c r="BU21" i="1" s="1"/>
  <c r="EI11" i="1" s="1"/>
  <c r="BG14" i="1"/>
  <c r="BL29" i="1" s="1"/>
  <c r="BU29" i="1" s="1"/>
  <c r="EQ11" i="1" s="1"/>
  <c r="AV14" i="1"/>
  <c r="BL18" i="1" s="1"/>
  <c r="BU18" i="1" s="1"/>
  <c r="EF11" i="1" s="1"/>
  <c r="BL22" i="1"/>
  <c r="BU22" i="1" s="1"/>
  <c r="EJ11" i="1" s="1"/>
  <c r="B52" i="1"/>
  <c r="L52" i="1"/>
  <c r="B53" i="1"/>
  <c r="C52" i="1"/>
  <c r="D52" i="1"/>
  <c r="Q52" i="1"/>
  <c r="K52" i="1"/>
  <c r="E52" i="1"/>
  <c r="M52" i="1"/>
  <c r="F52" i="1"/>
  <c r="N52" i="1"/>
  <c r="G52" i="1"/>
  <c r="O52" i="1"/>
  <c r="H52" i="1"/>
  <c r="P52" i="1"/>
  <c r="I52" i="1"/>
  <c r="J52" i="1"/>
  <c r="J51" i="1"/>
  <c r="C53" i="1"/>
  <c r="K53" i="1"/>
  <c r="D53" i="1"/>
  <c r="L53" i="1"/>
  <c r="N53" i="1"/>
  <c r="E53" i="1"/>
  <c r="M53" i="1"/>
  <c r="F53" i="1"/>
  <c r="G53" i="1"/>
  <c r="O53" i="1"/>
  <c r="H53" i="1"/>
  <c r="P53" i="1"/>
  <c r="I53" i="1"/>
  <c r="Q53" i="1"/>
  <c r="J53" i="1"/>
  <c r="L51" i="1"/>
  <c r="C51" i="1"/>
  <c r="M51" i="1"/>
  <c r="K51" i="1"/>
  <c r="D51" i="1"/>
  <c r="E51" i="1"/>
  <c r="F51" i="1"/>
  <c r="N51" i="1"/>
  <c r="O51" i="1"/>
  <c r="H51" i="1"/>
  <c r="B51" i="1"/>
  <c r="I51" i="1"/>
  <c r="Q51" i="1"/>
  <c r="G51" i="1"/>
  <c r="P51" i="1"/>
  <c r="CC11" i="1"/>
  <c r="CC10" i="1"/>
  <c r="AR20" i="1"/>
  <c r="BR14" i="1" s="1"/>
  <c r="AR19" i="1"/>
  <c r="BQ14" i="1" s="1"/>
  <c r="BZ14" i="1" s="1"/>
  <c r="EB16" i="1" s="1"/>
  <c r="AR18" i="1"/>
  <c r="BP14" i="1" s="1"/>
  <c r="BY14" i="1" s="1"/>
  <c r="EB15" i="1" s="1"/>
  <c r="AR15" i="1"/>
  <c r="BM14" i="1" s="1"/>
  <c r="BV14" i="1" s="1"/>
  <c r="EB12" i="1" s="1"/>
  <c r="AR14" i="1"/>
  <c r="AB20" i="1"/>
  <c r="AB19" i="1"/>
  <c r="AB18" i="1"/>
  <c r="AB16" i="1"/>
  <c r="AB15" i="1"/>
  <c r="AB14" i="1"/>
  <c r="AA19" i="1"/>
  <c r="Z19" i="1"/>
  <c r="AA17" i="1"/>
  <c r="Z17" i="1"/>
  <c r="R29" i="1"/>
  <c r="AA18" i="1"/>
  <c r="AA16" i="1"/>
  <c r="AA14" i="1"/>
  <c r="Z20" i="1"/>
  <c r="Z18" i="1"/>
  <c r="Z15" i="1"/>
  <c r="Z14" i="1"/>
  <c r="Y20" i="1"/>
  <c r="Y19" i="1"/>
  <c r="Y18" i="1"/>
  <c r="Y17" i="1"/>
  <c r="Y16" i="1"/>
  <c r="Y15" i="1"/>
  <c r="Y14" i="1"/>
  <c r="AA31" i="1"/>
  <c r="AA30" i="1"/>
  <c r="AA29" i="1"/>
  <c r="AA28" i="1"/>
  <c r="AA27" i="1"/>
  <c r="AA26" i="1"/>
  <c r="AA25" i="1"/>
  <c r="G4" i="1"/>
  <c r="G5" i="1" s="1"/>
  <c r="Q29" i="1" l="1"/>
  <c r="Y48" i="1"/>
  <c r="AH48" i="1" s="1"/>
  <c r="AS68" i="1"/>
  <c r="AV67" i="1"/>
  <c r="X51" i="1"/>
  <c r="AG51" i="1" s="1"/>
  <c r="AT67" i="1"/>
  <c r="X49" i="1"/>
  <c r="AG49" i="1" s="1"/>
  <c r="BC69" i="1"/>
  <c r="Z58" i="1"/>
  <c r="AI58" i="1" s="1"/>
  <c r="BE68" i="1"/>
  <c r="Y60" i="1"/>
  <c r="AH60" i="1" s="1"/>
  <c r="Y55" i="1"/>
  <c r="AH55" i="1" s="1"/>
  <c r="AZ68" i="1"/>
  <c r="BF67" i="1"/>
  <c r="X61" i="1"/>
  <c r="AG61" i="1" s="1"/>
  <c r="AS67" i="1"/>
  <c r="X48" i="1"/>
  <c r="AG48" i="1" s="1"/>
  <c r="BE69" i="1"/>
  <c r="Z60" i="1"/>
  <c r="AI60" i="1" s="1"/>
  <c r="Z56" i="1"/>
  <c r="AI56" i="1" s="1"/>
  <c r="BA69" i="1"/>
  <c r="AW68" i="1"/>
  <c r="Y52" i="1"/>
  <c r="AH52" i="1" s="1"/>
  <c r="BF68" i="1"/>
  <c r="Y61" i="1"/>
  <c r="AH61" i="1" s="1"/>
  <c r="X55" i="1"/>
  <c r="AG55" i="1" s="1"/>
  <c r="AZ67" i="1"/>
  <c r="X46" i="1"/>
  <c r="AG46" i="1" s="1"/>
  <c r="AQ67" i="1"/>
  <c r="BB67" i="1"/>
  <c r="X57" i="1"/>
  <c r="AG57" i="1" s="1"/>
  <c r="BD69" i="1"/>
  <c r="Z59" i="1"/>
  <c r="AI59" i="1" s="1"/>
  <c r="Z55" i="1"/>
  <c r="AI55" i="1" s="1"/>
  <c r="AZ69" i="1"/>
  <c r="AV68" i="1"/>
  <c r="Y51" i="1"/>
  <c r="AH51" i="1" s="1"/>
  <c r="Y47" i="1"/>
  <c r="AH47" i="1" s="1"/>
  <c r="AR68" i="1"/>
  <c r="AX67" i="1"/>
  <c r="X53" i="1"/>
  <c r="AG53" i="1" s="1"/>
  <c r="AW67" i="1"/>
  <c r="X52" i="1"/>
  <c r="AG52" i="1" s="1"/>
  <c r="X47" i="1"/>
  <c r="AG47" i="1" s="1"/>
  <c r="AR67" i="1"/>
  <c r="AV69" i="1"/>
  <c r="Z51" i="1"/>
  <c r="AI51" i="1" s="1"/>
  <c r="Z47" i="1"/>
  <c r="AI47" i="1" s="1"/>
  <c r="AR69" i="1"/>
  <c r="N55" i="1"/>
  <c r="AA58" i="1" s="1"/>
  <c r="AJ58" i="1" s="1"/>
  <c r="BC68" i="1"/>
  <c r="Y58" i="1"/>
  <c r="AH58" i="1" s="1"/>
  <c r="Z46" i="1"/>
  <c r="AI46" i="1" s="1"/>
  <c r="AQ69" i="1"/>
  <c r="BD68" i="1"/>
  <c r="Y59" i="1"/>
  <c r="AH59" i="1" s="1"/>
  <c r="BD67" i="1"/>
  <c r="X59" i="1"/>
  <c r="AG59" i="1" s="1"/>
  <c r="BA67" i="1"/>
  <c r="X56" i="1"/>
  <c r="AG56" i="1" s="1"/>
  <c r="AU69" i="1"/>
  <c r="Z50" i="1"/>
  <c r="AI50" i="1" s="1"/>
  <c r="X54" i="1"/>
  <c r="AG54" i="1" s="1"/>
  <c r="AY67" i="1"/>
  <c r="AU68" i="1"/>
  <c r="Y50" i="1"/>
  <c r="AH50" i="1" s="1"/>
  <c r="Y56" i="1"/>
  <c r="AH56" i="1" s="1"/>
  <c r="BA68" i="1"/>
  <c r="BC67" i="1"/>
  <c r="X58" i="1"/>
  <c r="AG58" i="1" s="1"/>
  <c r="Z54" i="1"/>
  <c r="AI54" i="1" s="1"/>
  <c r="AY69" i="1"/>
  <c r="Z57" i="1"/>
  <c r="AI57" i="1" s="1"/>
  <c r="BB69" i="1"/>
  <c r="Y54" i="1"/>
  <c r="AH54" i="1" s="1"/>
  <c r="AY68" i="1"/>
  <c r="BB68" i="1"/>
  <c r="Y57" i="1"/>
  <c r="AH57" i="1" s="1"/>
  <c r="Y46" i="1"/>
  <c r="AH46" i="1" s="1"/>
  <c r="AQ68" i="1"/>
  <c r="AW69" i="1"/>
  <c r="Z52" i="1"/>
  <c r="AI52" i="1" s="1"/>
  <c r="BE67" i="1"/>
  <c r="X60" i="1"/>
  <c r="AG60" i="1" s="1"/>
  <c r="AU67" i="1"/>
  <c r="X50" i="1"/>
  <c r="AG50" i="1" s="1"/>
  <c r="BF69" i="1"/>
  <c r="Z61" i="1"/>
  <c r="AI61" i="1" s="1"/>
  <c r="Z49" i="1"/>
  <c r="AI49" i="1" s="1"/>
  <c r="AT69" i="1"/>
  <c r="AX68" i="1"/>
  <c r="Y53" i="1"/>
  <c r="AH53" i="1" s="1"/>
  <c r="AT68" i="1"/>
  <c r="Y49" i="1"/>
  <c r="AH49" i="1" s="1"/>
  <c r="Z48" i="1"/>
  <c r="AI48" i="1" s="1"/>
  <c r="AS69" i="1"/>
  <c r="AX69" i="1"/>
  <c r="Z53" i="1"/>
  <c r="AI53" i="1" s="1"/>
  <c r="F55" i="1"/>
  <c r="AA50" i="1" s="1"/>
  <c r="AJ50" i="1" s="1"/>
  <c r="G55" i="1"/>
  <c r="AA51" i="1" s="1"/>
  <c r="AJ51" i="1" s="1"/>
  <c r="C55" i="1"/>
  <c r="AA47" i="1" s="1"/>
  <c r="AJ47" i="1" s="1"/>
  <c r="L55" i="1"/>
  <c r="AA56" i="1" s="1"/>
  <c r="AJ56" i="1" s="1"/>
  <c r="J55" i="1"/>
  <c r="AA54" i="1" s="1"/>
  <c r="AJ54" i="1" s="1"/>
  <c r="M55" i="1"/>
  <c r="AA57" i="1" s="1"/>
  <c r="AJ57" i="1" s="1"/>
  <c r="BC16" i="1"/>
  <c r="AU16" i="1"/>
  <c r="BA16" i="1"/>
  <c r="AS16" i="1"/>
  <c r="BD16" i="1"/>
  <c r="AV16" i="1"/>
  <c r="AX16" i="1"/>
  <c r="BE16" i="1"/>
  <c r="AW16" i="1"/>
  <c r="BF16" i="1"/>
  <c r="BG16" i="1"/>
  <c r="AY16" i="1"/>
  <c r="AZ16" i="1"/>
  <c r="BB16" i="1"/>
  <c r="AT16" i="1"/>
  <c r="I55" i="1"/>
  <c r="AA53" i="1" s="1"/>
  <c r="AJ53" i="1" s="1"/>
  <c r="E55" i="1"/>
  <c r="AA49" i="1" s="1"/>
  <c r="AJ49" i="1" s="1"/>
  <c r="BL14" i="1"/>
  <c r="BU14" i="1" s="1"/>
  <c r="EB11" i="1" s="1"/>
  <c r="P55" i="1"/>
  <c r="AA60" i="1" s="1"/>
  <c r="AJ60" i="1" s="1"/>
  <c r="K55" i="1"/>
  <c r="AA55" i="1" s="1"/>
  <c r="AJ55" i="1" s="1"/>
  <c r="BD17" i="1"/>
  <c r="BO26" i="1" s="1"/>
  <c r="BX26" i="1" s="1"/>
  <c r="EN14" i="1" s="1"/>
  <c r="AV17" i="1"/>
  <c r="BO18" i="1" s="1"/>
  <c r="BX18" i="1" s="1"/>
  <c r="EF14" i="1" s="1"/>
  <c r="BE17" i="1"/>
  <c r="BO27" i="1" s="1"/>
  <c r="BX27" i="1" s="1"/>
  <c r="EO14" i="1" s="1"/>
  <c r="AW17" i="1"/>
  <c r="BO19" i="1" s="1"/>
  <c r="BX19" i="1" s="1"/>
  <c r="EG14" i="1" s="1"/>
  <c r="AT17" i="1"/>
  <c r="BO16" i="1" s="1"/>
  <c r="BX16" i="1" s="1"/>
  <c r="ED14" i="1" s="1"/>
  <c r="BF17" i="1"/>
  <c r="BO28" i="1" s="1"/>
  <c r="BX28" i="1" s="1"/>
  <c r="EP14" i="1" s="1"/>
  <c r="AX17" i="1"/>
  <c r="BO20" i="1" s="1"/>
  <c r="BX20" i="1" s="1"/>
  <c r="EH14" i="1" s="1"/>
  <c r="BB17" i="1"/>
  <c r="BO24" i="1" s="1"/>
  <c r="BX24" i="1" s="1"/>
  <c r="EL14" i="1" s="1"/>
  <c r="AZ17" i="1"/>
  <c r="BO22" i="1" s="1"/>
  <c r="BX22" i="1" s="1"/>
  <c r="EJ14" i="1" s="1"/>
  <c r="BA17" i="1"/>
  <c r="BO23" i="1" s="1"/>
  <c r="BX23" i="1" s="1"/>
  <c r="EK14" i="1" s="1"/>
  <c r="AS17" i="1"/>
  <c r="BO15" i="1" s="1"/>
  <c r="BX15" i="1" s="1"/>
  <c r="EC14" i="1" s="1"/>
  <c r="BC17" i="1"/>
  <c r="BO25" i="1" s="1"/>
  <c r="BX25" i="1" s="1"/>
  <c r="EM14" i="1" s="1"/>
  <c r="AU17" i="1"/>
  <c r="BO17" i="1" s="1"/>
  <c r="BX17" i="1" s="1"/>
  <c r="EE14" i="1" s="1"/>
  <c r="BG17" i="1"/>
  <c r="BO29" i="1" s="1"/>
  <c r="BX29" i="1" s="1"/>
  <c r="EQ14" i="1" s="1"/>
  <c r="AY17" i="1"/>
  <c r="BO21" i="1" s="1"/>
  <c r="BX21" i="1" s="1"/>
  <c r="EI14" i="1" s="1"/>
  <c r="H55" i="1"/>
  <c r="AA52" i="1" s="1"/>
  <c r="AJ52" i="1" s="1"/>
  <c r="Q55" i="1"/>
  <c r="AA61" i="1" s="1"/>
  <c r="AJ61" i="1" s="1"/>
  <c r="B55" i="1"/>
  <c r="AA46" i="1" s="1"/>
  <c r="AJ46" i="1" s="1"/>
  <c r="O55" i="1"/>
  <c r="AA59" i="1" s="1"/>
  <c r="AJ59" i="1" s="1"/>
  <c r="D55" i="1"/>
  <c r="AA48" i="1" s="1"/>
  <c r="AJ48" i="1" s="1"/>
  <c r="Z16" i="1"/>
  <c r="AG15" i="1" s="1"/>
  <c r="Z27" i="1"/>
  <c r="Y30" i="1"/>
  <c r="Y25" i="1"/>
  <c r="Z30" i="1"/>
  <c r="Z25" i="1"/>
  <c r="Y28" i="1"/>
  <c r="Z28" i="1"/>
  <c r="Y31" i="1"/>
  <c r="Y26" i="1"/>
  <c r="Z31" i="1"/>
  <c r="Y27" i="1"/>
  <c r="AB17" i="1"/>
  <c r="AF17" i="1" s="1"/>
  <c r="Z26" i="1"/>
  <c r="Y29" i="1"/>
  <c r="Z29" i="1"/>
  <c r="AR16" i="1"/>
  <c r="BN14" i="1" s="1"/>
  <c r="BW14" i="1" s="1"/>
  <c r="EB13" i="1" s="1"/>
  <c r="AF27" i="1"/>
  <c r="AR17" i="1"/>
  <c r="AG27" i="1"/>
  <c r="AG14" i="1"/>
  <c r="AH27" i="1"/>
  <c r="AE14" i="1"/>
  <c r="AF14" i="1"/>
  <c r="AE27" i="1"/>
  <c r="AA20" i="1"/>
  <c r="AA15" i="1"/>
  <c r="DJ18" i="1"/>
  <c r="DJ19" i="1" s="1"/>
  <c r="DK18" i="1"/>
  <c r="DK19" i="1" s="1"/>
  <c r="DL18" i="1"/>
  <c r="DL19" i="1" s="1"/>
  <c r="DM18" i="1"/>
  <c r="DM19" i="1" s="1"/>
  <c r="DN18" i="1"/>
  <c r="DN19" i="1" s="1"/>
  <c r="DO18" i="1"/>
  <c r="DO19" i="1" s="1"/>
  <c r="DP18" i="1"/>
  <c r="DP19" i="1" s="1"/>
  <c r="DQ18" i="1"/>
  <c r="DQ19" i="1" s="1"/>
  <c r="DR18" i="1"/>
  <c r="DR19" i="1" s="1"/>
  <c r="DS18" i="1"/>
  <c r="DS19" i="1" s="1"/>
  <c r="DT18" i="1"/>
  <c r="DT19" i="1" s="1"/>
  <c r="DU18" i="1"/>
  <c r="DU19" i="1" s="1"/>
  <c r="DV18" i="1"/>
  <c r="DV19" i="1" s="1"/>
  <c r="DW18" i="1"/>
  <c r="DW19" i="1" s="1"/>
  <c r="DX18" i="1"/>
  <c r="DX19" i="1" s="1"/>
  <c r="DY18" i="1"/>
  <c r="DY19" i="1" s="1"/>
  <c r="AE17" i="1" l="1"/>
  <c r="AG17" i="1"/>
  <c r="BF61" i="1"/>
  <c r="BA61" i="1"/>
  <c r="BE61" i="1"/>
  <c r="AT61" i="1"/>
  <c r="AV61" i="1"/>
  <c r="AY61" i="1"/>
  <c r="BB61" i="1"/>
  <c r="BD61" i="1"/>
  <c r="BC61" i="1"/>
  <c r="AQ61" i="1"/>
  <c r="AZ61" i="1"/>
  <c r="AR61" i="1"/>
  <c r="AU61" i="1"/>
  <c r="AS61" i="1"/>
  <c r="AW61" i="1"/>
  <c r="AL61" i="1"/>
  <c r="AM61" i="1" s="1"/>
  <c r="AX61" i="1"/>
  <c r="AZ56" i="1"/>
  <c r="AL56" i="1"/>
  <c r="AM56" i="1" s="1"/>
  <c r="BB56" i="1"/>
  <c r="BD56" i="1"/>
  <c r="BF56" i="1"/>
  <c r="AX56" i="1"/>
  <c r="BA56" i="1"/>
  <c r="BE56" i="1"/>
  <c r="AY56" i="1"/>
  <c r="AU56" i="1"/>
  <c r="BC56" i="1"/>
  <c r="AS56" i="1"/>
  <c r="AW56" i="1"/>
  <c r="AQ56" i="1"/>
  <c r="AR56" i="1"/>
  <c r="AT56" i="1"/>
  <c r="AV56" i="1"/>
  <c r="AU47" i="1"/>
  <c r="AX47" i="1"/>
  <c r="AL47" i="1"/>
  <c r="AM47" i="1" s="1"/>
  <c r="BC47" i="1"/>
  <c r="AQ47" i="1"/>
  <c r="AS47" i="1"/>
  <c r="AY47" i="1"/>
  <c r="BB47" i="1"/>
  <c r="BF47" i="1"/>
  <c r="BA47" i="1"/>
  <c r="BE47" i="1"/>
  <c r="AW47" i="1"/>
  <c r="AT47" i="1"/>
  <c r="AV47" i="1"/>
  <c r="AZ47" i="1"/>
  <c r="BD47" i="1"/>
  <c r="AR47" i="1"/>
  <c r="AQ49" i="1"/>
  <c r="BA49" i="1"/>
  <c r="BE49" i="1"/>
  <c r="AT49" i="1"/>
  <c r="AV49" i="1"/>
  <c r="BB49" i="1"/>
  <c r="BD49" i="1"/>
  <c r="AL49" i="1"/>
  <c r="AM49" i="1" s="1"/>
  <c r="BC49" i="1"/>
  <c r="AX49" i="1"/>
  <c r="BF49" i="1"/>
  <c r="AR49" i="1"/>
  <c r="AU49" i="1"/>
  <c r="AY49" i="1"/>
  <c r="AZ49" i="1"/>
  <c r="AS49" i="1"/>
  <c r="AW49" i="1"/>
  <c r="BB52" i="1"/>
  <c r="BD52" i="1"/>
  <c r="AR52" i="1"/>
  <c r="BF52" i="1"/>
  <c r="AL52" i="1"/>
  <c r="AM52" i="1" s="1"/>
  <c r="AZ52" i="1"/>
  <c r="AU52" i="1"/>
  <c r="BC52" i="1"/>
  <c r="AY52" i="1"/>
  <c r="BE52" i="1"/>
  <c r="AX52" i="1"/>
  <c r="AS52" i="1"/>
  <c r="AW52" i="1"/>
  <c r="BA52" i="1"/>
  <c r="AQ52" i="1"/>
  <c r="AT52" i="1"/>
  <c r="AV52" i="1"/>
  <c r="BC46" i="1"/>
  <c r="AX46" i="1"/>
  <c r="AS46" i="1"/>
  <c r="AL46" i="1"/>
  <c r="AM46" i="1" s="1"/>
  <c r="BA46" i="1"/>
  <c r="BF46" i="1"/>
  <c r="AY46" i="1"/>
  <c r="AZ46" i="1"/>
  <c r="AT46" i="1"/>
  <c r="AV46" i="1"/>
  <c r="AR46" i="1"/>
  <c r="BB46" i="1"/>
  <c r="BD46" i="1"/>
  <c r="AW46" i="1"/>
  <c r="AQ46" i="1"/>
  <c r="BE46" i="1"/>
  <c r="AU46" i="1"/>
  <c r="AZ59" i="1"/>
  <c r="AU59" i="1"/>
  <c r="AY59" i="1"/>
  <c r="BC59" i="1"/>
  <c r="AL59" i="1"/>
  <c r="AM59" i="1" s="1"/>
  <c r="BD59" i="1"/>
  <c r="BF59" i="1"/>
  <c r="AQ59" i="1"/>
  <c r="AR59" i="1"/>
  <c r="AS59" i="1"/>
  <c r="AW59" i="1"/>
  <c r="BA59" i="1"/>
  <c r="BE59" i="1"/>
  <c r="BB59" i="1"/>
  <c r="AT59" i="1"/>
  <c r="AV59" i="1"/>
  <c r="AX59" i="1"/>
  <c r="AY51" i="1"/>
  <c r="AZ51" i="1"/>
  <c r="AQ51" i="1"/>
  <c r="AU51" i="1"/>
  <c r="AL51" i="1"/>
  <c r="AM51" i="1" s="1"/>
  <c r="BF51" i="1"/>
  <c r="BC51" i="1"/>
  <c r="BB51" i="1"/>
  <c r="AS51" i="1"/>
  <c r="AW51" i="1"/>
  <c r="BA51" i="1"/>
  <c r="BE51" i="1"/>
  <c r="BD51" i="1"/>
  <c r="AT51" i="1"/>
  <c r="AV51" i="1"/>
  <c r="AX51" i="1"/>
  <c r="AR51" i="1"/>
  <c r="BB60" i="1"/>
  <c r="AR60" i="1"/>
  <c r="BD60" i="1"/>
  <c r="AQ60" i="1"/>
  <c r="AY60" i="1"/>
  <c r="AX60" i="1"/>
  <c r="BF60" i="1"/>
  <c r="AU60" i="1"/>
  <c r="AL60" i="1"/>
  <c r="AM60" i="1" s="1"/>
  <c r="BE60" i="1"/>
  <c r="AZ60" i="1"/>
  <c r="BC60" i="1"/>
  <c r="BA60" i="1"/>
  <c r="AS60" i="1"/>
  <c r="AW60" i="1"/>
  <c r="AT60" i="1"/>
  <c r="AV60" i="1"/>
  <c r="BA53" i="1"/>
  <c r="BE53" i="1"/>
  <c r="AT53" i="1"/>
  <c r="AV53" i="1"/>
  <c r="AY53" i="1"/>
  <c r="BB53" i="1"/>
  <c r="BD53" i="1"/>
  <c r="AQ53" i="1"/>
  <c r="AZ53" i="1"/>
  <c r="AU53" i="1"/>
  <c r="BC53" i="1"/>
  <c r="AL53" i="1"/>
  <c r="AM53" i="1" s="1"/>
  <c r="BF53" i="1"/>
  <c r="AS53" i="1"/>
  <c r="AR53" i="1"/>
  <c r="AW53" i="1"/>
  <c r="AX53" i="1"/>
  <c r="AY55" i="1"/>
  <c r="AQ55" i="1"/>
  <c r="AR55" i="1"/>
  <c r="AU55" i="1"/>
  <c r="AX55" i="1"/>
  <c r="BC55" i="1"/>
  <c r="AS55" i="1"/>
  <c r="AW55" i="1"/>
  <c r="BD55" i="1"/>
  <c r="BA55" i="1"/>
  <c r="BE55" i="1"/>
  <c r="BF55" i="1"/>
  <c r="AL55" i="1"/>
  <c r="AM55" i="1" s="1"/>
  <c r="AT55" i="1"/>
  <c r="AV55" i="1"/>
  <c r="BB55" i="1"/>
  <c r="AZ55" i="1"/>
  <c r="AZ57" i="1"/>
  <c r="BA57" i="1"/>
  <c r="BE57" i="1"/>
  <c r="AY57" i="1"/>
  <c r="AT57" i="1"/>
  <c r="AV57" i="1"/>
  <c r="AQ57" i="1"/>
  <c r="AR57" i="1"/>
  <c r="AL57" i="1"/>
  <c r="AM57" i="1" s="1"/>
  <c r="BB57" i="1"/>
  <c r="BD57" i="1"/>
  <c r="AX57" i="1"/>
  <c r="BC57" i="1"/>
  <c r="BF57" i="1"/>
  <c r="AU57" i="1"/>
  <c r="AS57" i="1"/>
  <c r="AW57" i="1"/>
  <c r="BC50" i="1"/>
  <c r="BF50" i="1"/>
  <c r="AS50" i="1"/>
  <c r="AW50" i="1"/>
  <c r="BA50" i="1"/>
  <c r="BE50" i="1"/>
  <c r="AQ50" i="1"/>
  <c r="AT50" i="1"/>
  <c r="AV50" i="1"/>
  <c r="BB50" i="1"/>
  <c r="BD50" i="1"/>
  <c r="AX50" i="1"/>
  <c r="AR50" i="1"/>
  <c r="AY50" i="1"/>
  <c r="AZ50" i="1"/>
  <c r="AL50" i="1"/>
  <c r="AM50" i="1" s="1"/>
  <c r="AU50" i="1"/>
  <c r="AQ58" i="1"/>
  <c r="AR58" i="1"/>
  <c r="BC58" i="1"/>
  <c r="AS58" i="1"/>
  <c r="AW58" i="1"/>
  <c r="BA58" i="1"/>
  <c r="BE58" i="1"/>
  <c r="AT58" i="1"/>
  <c r="AV58" i="1"/>
  <c r="AL58" i="1"/>
  <c r="AM58" i="1" s="1"/>
  <c r="BF58" i="1"/>
  <c r="AY58" i="1"/>
  <c r="AZ58" i="1"/>
  <c r="BB58" i="1"/>
  <c r="BD58" i="1"/>
  <c r="AX58" i="1"/>
  <c r="AU58" i="1"/>
  <c r="AZ54" i="1"/>
  <c r="BC54" i="1"/>
  <c r="AX54" i="1"/>
  <c r="AL54" i="1"/>
  <c r="AM54" i="1" s="1"/>
  <c r="AS54" i="1"/>
  <c r="AW54" i="1"/>
  <c r="AY54" i="1"/>
  <c r="BA54" i="1"/>
  <c r="BE54" i="1"/>
  <c r="AR54" i="1"/>
  <c r="AT54" i="1"/>
  <c r="AV54" i="1"/>
  <c r="BB54" i="1"/>
  <c r="BD54" i="1"/>
  <c r="BF54" i="1"/>
  <c r="AQ54" i="1"/>
  <c r="AU54" i="1"/>
  <c r="BB48" i="1"/>
  <c r="BD48" i="1"/>
  <c r="BF48" i="1"/>
  <c r="AX48" i="1"/>
  <c r="AU48" i="1"/>
  <c r="BA48" i="1"/>
  <c r="AR48" i="1"/>
  <c r="AY48" i="1"/>
  <c r="AZ48" i="1"/>
  <c r="BC48" i="1"/>
  <c r="AQ48" i="1"/>
  <c r="AS48" i="1"/>
  <c r="AW48" i="1"/>
  <c r="BE48" i="1"/>
  <c r="AL48" i="1"/>
  <c r="AM48" i="1" s="1"/>
  <c r="AT48" i="1"/>
  <c r="AV48" i="1"/>
  <c r="AF16" i="1"/>
  <c r="AE25" i="1"/>
  <c r="BN15" i="1"/>
  <c r="BW15" i="1" s="1"/>
  <c r="AS21" i="1"/>
  <c r="BN22" i="1"/>
  <c r="BW22" i="1" s="1"/>
  <c r="AZ21" i="1"/>
  <c r="BN26" i="1"/>
  <c r="BW26" i="1" s="1"/>
  <c r="BD21" i="1"/>
  <c r="BF21" i="1"/>
  <c r="BN28" i="1"/>
  <c r="BW28" i="1" s="1"/>
  <c r="EP13" i="1" s="1"/>
  <c r="BN17" i="1"/>
  <c r="BW17" i="1" s="1"/>
  <c r="AU21" i="1"/>
  <c r="BN23" i="1"/>
  <c r="BW23" i="1" s="1"/>
  <c r="BA21" i="1"/>
  <c r="BN19" i="1"/>
  <c r="BW19" i="1" s="1"/>
  <c r="AW21" i="1"/>
  <c r="BN25" i="1"/>
  <c r="BW25" i="1" s="1"/>
  <c r="BC21" i="1"/>
  <c r="BN29" i="1"/>
  <c r="BW29" i="1" s="1"/>
  <c r="BG21" i="1"/>
  <c r="BN27" i="1"/>
  <c r="BW27" i="1" s="1"/>
  <c r="BE21" i="1"/>
  <c r="BN21" i="1"/>
  <c r="BW21" i="1" s="1"/>
  <c r="AY21" i="1"/>
  <c r="BN16" i="1"/>
  <c r="BW16" i="1" s="1"/>
  <c r="AT21" i="1"/>
  <c r="BN20" i="1"/>
  <c r="BW20" i="1" s="1"/>
  <c r="AX21" i="1"/>
  <c r="AR21" i="1"/>
  <c r="BN24" i="1"/>
  <c r="BW24" i="1" s="1"/>
  <c r="BB21" i="1"/>
  <c r="BN18" i="1"/>
  <c r="BW18" i="1" s="1"/>
  <c r="AV21" i="1"/>
  <c r="AF15" i="1"/>
  <c r="AE15" i="1"/>
  <c r="AG26" i="1"/>
  <c r="AH25" i="1"/>
  <c r="AG25" i="1"/>
  <c r="AH26" i="1"/>
  <c r="AE26" i="1"/>
  <c r="AF26" i="1"/>
  <c r="AF25" i="1"/>
  <c r="BO14" i="1"/>
  <c r="BX14" i="1" s="1"/>
  <c r="EB14" i="1" s="1"/>
  <c r="AH14" i="1"/>
  <c r="AI27" i="1"/>
  <c r="AE16" i="1"/>
  <c r="AG16" i="1"/>
  <c r="CQ15" i="1" l="1"/>
  <c r="EI13" i="1"/>
  <c r="CO15" i="1"/>
  <c r="EG13" i="1"/>
  <c r="CV15" i="1"/>
  <c r="EN13" i="1"/>
  <c r="CT14" i="1"/>
  <c r="EL13" i="1"/>
  <c r="CY14" i="1"/>
  <c r="EQ13" i="1"/>
  <c r="CM14" i="1"/>
  <c r="EE13" i="1"/>
  <c r="CK15" i="1"/>
  <c r="EC13" i="1"/>
  <c r="CN15" i="1"/>
  <c r="EF13" i="1"/>
  <c r="CW15" i="1"/>
  <c r="EO13" i="1"/>
  <c r="CS14" i="1"/>
  <c r="EK13" i="1"/>
  <c r="CR14" i="1"/>
  <c r="EJ13" i="1"/>
  <c r="CP15" i="1"/>
  <c r="EH13" i="1"/>
  <c r="CL14" i="1"/>
  <c r="ED13" i="1"/>
  <c r="CU14" i="1"/>
  <c r="EM13" i="1"/>
  <c r="CC14" i="1"/>
  <c r="EB19" i="1" s="1"/>
  <c r="BS27" i="1"/>
  <c r="CB27" i="1" s="1"/>
  <c r="EO18" i="1" s="1"/>
  <c r="BE22" i="1"/>
  <c r="BS23" i="1"/>
  <c r="CB23" i="1" s="1"/>
  <c r="EK18" i="1" s="1"/>
  <c r="BA22" i="1"/>
  <c r="BS22" i="1"/>
  <c r="CB22" i="1" s="1"/>
  <c r="EJ18" i="1" s="1"/>
  <c r="AZ22" i="1"/>
  <c r="BS20" i="1"/>
  <c r="CB20" i="1" s="1"/>
  <c r="EH18" i="1" s="1"/>
  <c r="AX22" i="1"/>
  <c r="BS29" i="1"/>
  <c r="CB29" i="1" s="1"/>
  <c r="EQ18" i="1" s="1"/>
  <c r="BG22" i="1"/>
  <c r="BS17" i="1"/>
  <c r="CB17" i="1" s="1"/>
  <c r="EE18" i="1" s="1"/>
  <c r="AU22" i="1"/>
  <c r="BS15" i="1"/>
  <c r="CB15" i="1" s="1"/>
  <c r="EC18" i="1" s="1"/>
  <c r="AS22" i="1"/>
  <c r="BS14" i="1"/>
  <c r="CB14" i="1" s="1"/>
  <c r="EB18" i="1" s="1"/>
  <c r="AR22" i="1"/>
  <c r="BS16" i="1"/>
  <c r="CB16" i="1" s="1"/>
  <c r="ED18" i="1" s="1"/>
  <c r="AT22" i="1"/>
  <c r="BS25" i="1"/>
  <c r="CB25" i="1" s="1"/>
  <c r="EM18" i="1" s="1"/>
  <c r="BC22" i="1"/>
  <c r="BS18" i="1"/>
  <c r="CB18" i="1" s="1"/>
  <c r="EF18" i="1" s="1"/>
  <c r="AV22" i="1"/>
  <c r="BS28" i="1"/>
  <c r="CB28" i="1" s="1"/>
  <c r="EP18" i="1" s="1"/>
  <c r="BF22" i="1"/>
  <c r="BS21" i="1"/>
  <c r="CB21" i="1" s="1"/>
  <c r="EI18" i="1" s="1"/>
  <c r="AY22" i="1"/>
  <c r="BS19" i="1"/>
  <c r="CB19" i="1" s="1"/>
  <c r="EG18" i="1" s="1"/>
  <c r="AW22" i="1"/>
  <c r="BS26" i="1"/>
  <c r="CB26" i="1" s="1"/>
  <c r="EN18" i="1" s="1"/>
  <c r="BD22" i="1"/>
  <c r="BS24" i="1"/>
  <c r="CB24" i="1" s="1"/>
  <c r="EL18" i="1" s="1"/>
  <c r="BB22" i="1"/>
  <c r="AG18" i="1"/>
  <c r="AH17" i="1"/>
  <c r="AE28" i="1"/>
  <c r="AF18" i="1"/>
  <c r="CM15" i="1"/>
  <c r="CK14" i="1"/>
  <c r="CQ14" i="1"/>
  <c r="CR15" i="1"/>
  <c r="CO14" i="1"/>
  <c r="CV14" i="1"/>
  <c r="CS15" i="1"/>
  <c r="CE16" i="1"/>
  <c r="CL16" i="1"/>
  <c r="CE19" i="1"/>
  <c r="CO16" i="1"/>
  <c r="CE26" i="1"/>
  <c r="CV16" i="1"/>
  <c r="CE25" i="1"/>
  <c r="CU16" i="1"/>
  <c r="CE18" i="1"/>
  <c r="CN16" i="1"/>
  <c r="CP14" i="1"/>
  <c r="CY15" i="1"/>
  <c r="CE28" i="1"/>
  <c r="CX16" i="1"/>
  <c r="CE21" i="1"/>
  <c r="CQ16" i="1"/>
  <c r="CX14" i="1"/>
  <c r="CL15" i="1"/>
  <c r="CE23" i="1"/>
  <c r="CS16" i="1"/>
  <c r="CE22" i="1"/>
  <c r="CR16" i="1"/>
  <c r="CE29" i="1"/>
  <c r="CY16" i="1"/>
  <c r="CN14" i="1"/>
  <c r="CX15" i="1"/>
  <c r="CU15" i="1"/>
  <c r="CE20" i="1"/>
  <c r="CP16" i="1"/>
  <c r="CE24" i="1"/>
  <c r="CT16" i="1"/>
  <c r="CE27" i="1"/>
  <c r="CW16" i="1"/>
  <c r="CW14" i="1"/>
  <c r="CT15" i="1"/>
  <c r="CE17" i="1"/>
  <c r="CM16" i="1"/>
  <c r="CE15" i="1"/>
  <c r="CK16" i="1"/>
  <c r="CJ16" i="1"/>
  <c r="AH15" i="1"/>
  <c r="AI25" i="1"/>
  <c r="AH28" i="1"/>
  <c r="AG28" i="1"/>
  <c r="AF28" i="1"/>
  <c r="AI26" i="1"/>
  <c r="CJ14" i="1"/>
  <c r="CE14" i="1"/>
  <c r="CJ15" i="1"/>
  <c r="AH16" i="1"/>
  <c r="AE18" i="1"/>
  <c r="EB20" i="1"/>
  <c r="EB21" i="1"/>
  <c r="EB22" i="1" s="1"/>
  <c r="CC22" i="1" l="1"/>
  <c r="EJ19" i="1" s="1"/>
  <c r="CC28" i="1"/>
  <c r="EP19" i="1" s="1"/>
  <c r="CC18" i="1"/>
  <c r="EF19" i="1" s="1"/>
  <c r="CC29" i="1"/>
  <c r="EQ19" i="1" s="1"/>
  <c r="CC23" i="1"/>
  <c r="EK19" i="1" s="1"/>
  <c r="CC25" i="1"/>
  <c r="EM19" i="1" s="1"/>
  <c r="CC17" i="1"/>
  <c r="EE19" i="1" s="1"/>
  <c r="CC15" i="1"/>
  <c r="EC19" i="1" s="1"/>
  <c r="CC21" i="1"/>
  <c r="EI19" i="1" s="1"/>
  <c r="CC16" i="1"/>
  <c r="ED19" i="1" s="1"/>
  <c r="CC26" i="1"/>
  <c r="EN19" i="1" s="1"/>
  <c r="CC20" i="1"/>
  <c r="EH19" i="1" s="1"/>
  <c r="CC19" i="1"/>
  <c r="EG19" i="1" s="1"/>
  <c r="CC24" i="1"/>
  <c r="EL19" i="1" s="1"/>
  <c r="CC27" i="1"/>
  <c r="EO19" i="1" s="1"/>
  <c r="CF22" i="1"/>
  <c r="CR17" i="1"/>
  <c r="CR18" i="1" s="1"/>
  <c r="CF28" i="1"/>
  <c r="CX17" i="1"/>
  <c r="CX18" i="1" s="1"/>
  <c r="CF26" i="1"/>
  <c r="CV17" i="1"/>
  <c r="CV18" i="1" s="1"/>
  <c r="CF17" i="1"/>
  <c r="CM17" i="1"/>
  <c r="CM18" i="1" s="1"/>
  <c r="CF15" i="1"/>
  <c r="CK17" i="1"/>
  <c r="CK18" i="1" s="1"/>
  <c r="CF23" i="1"/>
  <c r="CS17" i="1"/>
  <c r="CS18" i="1" s="1"/>
  <c r="CF19" i="1"/>
  <c r="CO17" i="1"/>
  <c r="CO18" i="1" s="1"/>
  <c r="CF18" i="1"/>
  <c r="CN17" i="1"/>
  <c r="CN18" i="1" s="1"/>
  <c r="CF16" i="1"/>
  <c r="CL17" i="1"/>
  <c r="CL18" i="1" s="1"/>
  <c r="CF24" i="1"/>
  <c r="CT17" i="1"/>
  <c r="CT18" i="1" s="1"/>
  <c r="CF20" i="1"/>
  <c r="CP17" i="1"/>
  <c r="CP18" i="1" s="1"/>
  <c r="CF14" i="1"/>
  <c r="CJ17" i="1"/>
  <c r="CJ18" i="1" s="1"/>
  <c r="CF27" i="1"/>
  <c r="CW17" i="1"/>
  <c r="CW18" i="1" s="1"/>
  <c r="CF29" i="1"/>
  <c r="CY17" i="1"/>
  <c r="CY18" i="1" s="1"/>
  <c r="CF21" i="1"/>
  <c r="CQ17" i="1"/>
  <c r="CQ18" i="1" s="1"/>
  <c r="CF25" i="1"/>
  <c r="CU17" i="1"/>
  <c r="CU18" i="1" s="1"/>
  <c r="AH18" i="1"/>
  <c r="AI28" i="1"/>
  <c r="EB23" i="1"/>
  <c r="EJ20" i="1"/>
  <c r="EP20" i="1"/>
  <c r="EF20" i="1"/>
  <c r="EQ20" i="1"/>
  <c r="EH20" i="1"/>
  <c r="EK20" i="1"/>
  <c r="EG20" i="1"/>
  <c r="EM20" i="1"/>
  <c r="EL20" i="1"/>
  <c r="EE20" i="1"/>
  <c r="EO20" i="1"/>
  <c r="EC20" i="1"/>
  <c r="EN20" i="1"/>
  <c r="EI20" i="1"/>
  <c r="ED20" i="1"/>
  <c r="EJ21" i="1"/>
  <c r="EJ22" i="1" s="1"/>
  <c r="EP21" i="1"/>
  <c r="EP22" i="1" s="1"/>
  <c r="EF21" i="1"/>
  <c r="EF22" i="1" s="1"/>
  <c r="EQ21" i="1"/>
  <c r="EQ22" i="1" s="1"/>
  <c r="EH21" i="1"/>
  <c r="EH22" i="1" s="1"/>
  <c r="EK21" i="1"/>
  <c r="EK22" i="1" s="1"/>
  <c r="EG21" i="1"/>
  <c r="EG22" i="1" s="1"/>
  <c r="EM21" i="1"/>
  <c r="EM22" i="1" s="1"/>
  <c r="EL21" i="1"/>
  <c r="EL22" i="1" s="1"/>
  <c r="EE21" i="1"/>
  <c r="EE22" i="1" s="1"/>
  <c r="EO21" i="1"/>
  <c r="EO22" i="1" s="1"/>
  <c r="EC21" i="1"/>
  <c r="EC22" i="1" s="1"/>
  <c r="EN21" i="1"/>
  <c r="EN22" i="1" s="1"/>
  <c r="EI21" i="1"/>
  <c r="EI22" i="1" s="1"/>
  <c r="ED21" i="1"/>
  <c r="ED22" i="1" s="1"/>
  <c r="ED23" i="1" l="1"/>
  <c r="EG23" i="1"/>
  <c r="EQ23" i="1"/>
  <c r="EM23" i="1"/>
  <c r="EI23" i="1"/>
  <c r="EK23" i="1"/>
  <c r="EJ23" i="1"/>
  <c r="EN23" i="1"/>
  <c r="EH23" i="1"/>
  <c r="EC23" i="1"/>
  <c r="EO23" i="1"/>
  <c r="EF23" i="1"/>
  <c r="EP23" i="1"/>
  <c r="EE23" i="1"/>
  <c r="EL23" i="1"/>
</calcChain>
</file>

<file path=xl/sharedStrings.xml><?xml version="1.0" encoding="utf-8"?>
<sst xmlns="http://schemas.openxmlformats.org/spreadsheetml/2006/main" count="189" uniqueCount="98">
  <si>
    <t>m =</t>
    <phoneticPr fontId="1"/>
  </si>
  <si>
    <t>n =</t>
    <phoneticPr fontId="1"/>
  </si>
  <si>
    <t>k =</t>
    <phoneticPr fontId="1"/>
  </si>
  <si>
    <t>= n - m</t>
    <phoneticPr fontId="1"/>
  </si>
  <si>
    <t>符号化データ：Y</t>
    <rPh sb="0" eb="3">
      <t>フゴウカ</t>
    </rPh>
    <phoneticPr fontId="1"/>
  </si>
  <si>
    <t>誤り入り符号化データ：Y'</t>
    <rPh sb="0" eb="1">
      <t>アヤマ</t>
    </rPh>
    <rPh sb="2" eb="3">
      <t>イ</t>
    </rPh>
    <rPh sb="4" eb="7">
      <t>フゴウカ</t>
    </rPh>
    <phoneticPr fontId="1"/>
  </si>
  <si>
    <t>符号計算：Y'</t>
    <rPh sb="0" eb="2">
      <t>フゴウ</t>
    </rPh>
    <rPh sb="2" eb="4">
      <t>ケイサン</t>
    </rPh>
    <phoneticPr fontId="1"/>
  </si>
  <si>
    <t>符号長：</t>
    <rPh sb="0" eb="2">
      <t>フゴウ</t>
    </rPh>
    <rPh sb="2" eb="3">
      <t>チョウ</t>
    </rPh>
    <phoneticPr fontId="1"/>
  </si>
  <si>
    <t>情報数：</t>
    <rPh sb="0" eb="2">
      <t>ジョウホウ</t>
    </rPh>
    <rPh sb="2" eb="3">
      <t>スウ</t>
    </rPh>
    <phoneticPr fontId="1"/>
  </si>
  <si>
    <t>整数：</t>
    <rPh sb="0" eb="2">
      <t>セイスウ</t>
    </rPh>
    <phoneticPr fontId="1"/>
  </si>
  <si>
    <t>※検査点のビット数</t>
    <rPh sb="1" eb="3">
      <t>ケンサ</t>
    </rPh>
    <rPh sb="3" eb="4">
      <t>テン</t>
    </rPh>
    <rPh sb="8" eb="9">
      <t>スウ</t>
    </rPh>
    <phoneticPr fontId="1"/>
  </si>
  <si>
    <t>行列：A</t>
    <rPh sb="0" eb="2">
      <t>ギョウレツ</t>
    </rPh>
    <phoneticPr fontId="1"/>
  </si>
  <si>
    <t>行列：P</t>
    <rPh sb="0" eb="2">
      <t>ギョウレツ</t>
    </rPh>
    <phoneticPr fontId="1"/>
  </si>
  <si>
    <t>※任意の4ビット</t>
  </si>
  <si>
    <t>http://intuniv.cs.shinshu-u.ac.jp/Lecture/error_correcting_code/Book/Section5.html</t>
    <phoneticPr fontId="1"/>
  </si>
  <si>
    <t>http://ja.wikipedia.org/wiki/%E3%83%8F%E3%83%9F%E3%83%B3%E3%82%B0%E7%AC%A6%E5%8F%B7</t>
    <phoneticPr fontId="1"/>
  </si>
  <si>
    <t>P</t>
    <phoneticPr fontId="1"/>
  </si>
  <si>
    <t>情報：x×16通り</t>
    <rPh sb="0" eb="2">
      <t>ジョウホウ</t>
    </rPh>
    <rPh sb="7" eb="8">
      <t>トオ</t>
    </rPh>
    <phoneticPr fontId="1"/>
  </si>
  <si>
    <t>⇒</t>
    <phoneticPr fontId="1"/>
  </si>
  <si>
    <t>←誤り位置</t>
    <rPh sb="1" eb="2">
      <t>アヤマ</t>
    </rPh>
    <rPh sb="3" eb="5">
      <t>イチ</t>
    </rPh>
    <phoneticPr fontId="1"/>
  </si>
  <si>
    <t>誤りi：</t>
    <rPh sb="0" eb="1">
      <t>アヤマ</t>
    </rPh>
    <phoneticPr fontId="1"/>
  </si>
  <si>
    <t>誤りj：</t>
    <rPh sb="0" eb="1">
      <t>アヤマ</t>
    </rPh>
    <phoneticPr fontId="1"/>
  </si>
  <si>
    <t>↓</t>
  </si>
  <si>
    <t>↓</t>
    <phoneticPr fontId="1"/>
  </si>
  <si>
    <t>※誤り検出</t>
    <rPh sb="1" eb="2">
      <t>アヤマ</t>
    </rPh>
    <rPh sb="3" eb="5">
      <t>ケンシュツ</t>
    </rPh>
    <phoneticPr fontId="1"/>
  </si>
  <si>
    <t>→</t>
    <phoneticPr fontId="1"/>
  </si>
  <si>
    <t>↑</t>
    <phoneticPr fontId="1"/>
  </si>
  <si>
    <t>本来の符号データ</t>
    <rPh sb="0" eb="2">
      <t>ホンライ</t>
    </rPh>
    <rPh sb="3" eb="5">
      <t>フゴウ</t>
    </rPh>
    <phoneticPr fontId="1"/>
  </si>
  <si>
    <t>※誤りビット数 &gt;= 3 … 対応不可（上記のいずれかのパターンとして処理されてしまう）</t>
    <rPh sb="1" eb="2">
      <t>アヤマ</t>
    </rPh>
    <rPh sb="6" eb="7">
      <t>スウ</t>
    </rPh>
    <rPh sb="15" eb="17">
      <t>タイオウ</t>
    </rPh>
    <rPh sb="17" eb="19">
      <t>フカ</t>
    </rPh>
    <rPh sb="20" eb="22">
      <t>ジョウキ</t>
    </rPh>
    <rPh sb="35" eb="37">
      <t>ショリ</t>
    </rPh>
    <phoneticPr fontId="1"/>
  </si>
  <si>
    <t>（注）符号化データYが「組織符号」であることが前提。</t>
    <rPh sb="1" eb="2">
      <t>チュウ</t>
    </rPh>
    <rPh sb="3" eb="6">
      <t>フゴウカ</t>
    </rPh>
    <rPh sb="12" eb="14">
      <t>ソシキ</t>
    </rPh>
    <rPh sb="14" eb="16">
      <t>フゴウ</t>
    </rPh>
    <rPh sb="23" eb="25">
      <t>ゼンテイ</t>
    </rPh>
    <phoneticPr fontId="1"/>
  </si>
  <si>
    <t>　　　「組織符号」は、符号化前のデータがそのままの形で含まれている符号。</t>
    <rPh sb="4" eb="6">
      <t>ソシキ</t>
    </rPh>
    <rPh sb="6" eb="8">
      <t>フゴウ</t>
    </rPh>
    <rPh sb="11" eb="14">
      <t>フゴウカ</t>
    </rPh>
    <rPh sb="14" eb="15">
      <t>マエ</t>
    </rPh>
    <rPh sb="25" eb="26">
      <t>カタチ</t>
    </rPh>
    <rPh sb="27" eb="28">
      <t>フク</t>
    </rPh>
    <rPh sb="33" eb="35">
      <t>フゴウ</t>
    </rPh>
    <phoneticPr fontId="1"/>
  </si>
  <si>
    <t>ハミング距離：</t>
    <rPh sb="4" eb="6">
      <t>キョリ</t>
    </rPh>
    <phoneticPr fontId="1"/>
  </si>
  <si>
    <t>パリティ：　※F毎</t>
    <rPh sb="8" eb="9">
      <t>マイ</t>
    </rPh>
    <phoneticPr fontId="1"/>
  </si>
  <si>
    <t>※零因子</t>
    <rPh sb="1" eb="2">
      <t>ゼロ</t>
    </rPh>
    <rPh sb="2" eb="4">
      <t>インシ</t>
    </rPh>
    <phoneticPr fontId="1"/>
  </si>
  <si>
    <r>
      <t>↑行列：Fと行列：Gをつなげたものが、</t>
    </r>
    <r>
      <rPr>
        <sz val="11"/>
        <color theme="1"/>
        <rFont val="ＭＳ Ｐゴシック"/>
        <family val="2"/>
        <charset val="128"/>
        <scheme val="minor"/>
      </rPr>
      <t/>
    </r>
    <rPh sb="1" eb="3">
      <t>ギョウレツ</t>
    </rPh>
    <rPh sb="6" eb="8">
      <t>ギョウレツ</t>
    </rPh>
    <phoneticPr fontId="1"/>
  </si>
  <si>
    <r>
      <t>誤りe</t>
    </r>
    <r>
      <rPr>
        <vertAlign val="subscript"/>
        <sz val="9"/>
        <color theme="1"/>
        <rFont val="ＭＳ ゴシック"/>
        <family val="3"/>
        <charset val="128"/>
      </rPr>
      <t>j</t>
    </r>
    <r>
      <rPr>
        <sz val="9"/>
        <color theme="1"/>
        <rFont val="ＭＳ ゴシック"/>
        <family val="3"/>
        <charset val="128"/>
      </rPr>
      <t>：</t>
    </r>
    <rPh sb="0" eb="1">
      <t>アヤマ</t>
    </rPh>
    <phoneticPr fontId="1"/>
  </si>
  <si>
    <r>
      <t>単位行列：I</t>
    </r>
    <r>
      <rPr>
        <vertAlign val="subscript"/>
        <sz val="9"/>
        <color theme="1"/>
        <rFont val="ＭＳ ゴシック"/>
        <family val="3"/>
        <charset val="128"/>
      </rPr>
      <t>m</t>
    </r>
    <rPh sb="0" eb="2">
      <t>タンイ</t>
    </rPh>
    <rPh sb="2" eb="4">
      <t>ギョウレツ</t>
    </rPh>
    <phoneticPr fontId="1"/>
  </si>
  <si>
    <r>
      <t>行列：H・G</t>
    </r>
    <r>
      <rPr>
        <vertAlign val="superscript"/>
        <sz val="9"/>
        <color theme="1"/>
        <rFont val="ＭＳ ゴシック"/>
        <family val="3"/>
        <charset val="128"/>
      </rPr>
      <t>T</t>
    </r>
    <r>
      <rPr>
        <sz val="9"/>
        <color theme="1"/>
        <rFont val="ＭＳ ゴシック"/>
        <family val="3"/>
        <charset val="128"/>
      </rPr>
      <t xml:space="preserve"> = 0</t>
    </r>
    <rPh sb="0" eb="2">
      <t>ギョウレツ</t>
    </rPh>
    <phoneticPr fontId="1"/>
  </si>
  <si>
    <r>
      <t>符号化データ：Y</t>
    </r>
    <r>
      <rPr>
        <vertAlign val="superscript"/>
        <sz val="9"/>
        <color theme="1"/>
        <rFont val="ＭＳ ゴシック"/>
        <family val="3"/>
        <charset val="128"/>
      </rPr>
      <t>T</t>
    </r>
    <r>
      <rPr>
        <sz val="9"/>
        <color theme="1"/>
        <rFont val="ＭＳ ゴシック"/>
        <family val="3"/>
        <charset val="128"/>
      </rPr>
      <t>×16通り</t>
    </r>
    <rPh sb="0" eb="3">
      <t>フゴウカ</t>
    </rPh>
    <rPh sb="12" eb="13">
      <t>トオ</t>
    </rPh>
    <phoneticPr fontId="1"/>
  </si>
  <si>
    <r>
      <t>Y</t>
    </r>
    <r>
      <rPr>
        <vertAlign val="superscript"/>
        <sz val="9"/>
        <color theme="1"/>
        <rFont val="ＭＳ ゴシック"/>
        <family val="3"/>
        <charset val="128"/>
      </rPr>
      <t>T</t>
    </r>
    <r>
      <rPr>
        <sz val="9"/>
        <color theme="1"/>
        <rFont val="ＭＳ ゴシック"/>
        <family val="3"/>
        <charset val="128"/>
      </rPr>
      <t xml:space="preserve"> = x・G</t>
    </r>
    <phoneticPr fontId="1"/>
  </si>
  <si>
    <r>
      <t>単位行列：I</t>
    </r>
    <r>
      <rPr>
        <vertAlign val="subscript"/>
        <sz val="9"/>
        <color theme="1"/>
        <rFont val="ＭＳ ゴシック"/>
        <family val="3"/>
        <charset val="128"/>
      </rPr>
      <t>k</t>
    </r>
    <rPh sb="0" eb="2">
      <t>タンイ</t>
    </rPh>
    <rPh sb="2" eb="4">
      <t>ギョウレツ</t>
    </rPh>
    <phoneticPr fontId="1"/>
  </si>
  <si>
    <r>
      <t>行列：H</t>
    </r>
    <r>
      <rPr>
        <vertAlign val="superscript"/>
        <sz val="9"/>
        <color theme="1"/>
        <rFont val="ＭＳ ゴシック"/>
        <family val="3"/>
        <charset val="128"/>
      </rPr>
      <t>T</t>
    </r>
    <rPh sb="0" eb="2">
      <t>ギョウレツ</t>
    </rPh>
    <phoneticPr fontId="1"/>
  </si>
  <si>
    <r>
      <t>行列：G</t>
    </r>
    <r>
      <rPr>
        <vertAlign val="superscript"/>
        <sz val="9"/>
        <color theme="1"/>
        <rFont val="ＭＳ ゴシック"/>
        <family val="3"/>
        <charset val="128"/>
      </rPr>
      <t>T</t>
    </r>
    <rPh sb="0" eb="2">
      <t>ギョウレツ</t>
    </rPh>
    <phoneticPr fontId="1"/>
  </si>
  <si>
    <r>
      <t>行列：G・H</t>
    </r>
    <r>
      <rPr>
        <vertAlign val="superscript"/>
        <sz val="9"/>
        <color theme="1"/>
        <rFont val="ＭＳ ゴシック"/>
        <family val="3"/>
        <charset val="128"/>
      </rPr>
      <t>T</t>
    </r>
    <r>
      <rPr>
        <sz val="9"/>
        <color theme="1"/>
        <rFont val="ＭＳ ゴシック"/>
        <family val="3"/>
        <charset val="128"/>
      </rPr>
      <t xml:space="preserve"> = 0</t>
    </r>
    <rPh sb="0" eb="2">
      <t>ギョウレツ</t>
    </rPh>
    <phoneticPr fontId="1"/>
  </si>
  <si>
    <r>
      <t>行列：F</t>
    </r>
    <r>
      <rPr>
        <vertAlign val="superscript"/>
        <sz val="9"/>
        <color theme="1"/>
        <rFont val="ＭＳ ゴシック"/>
        <family val="3"/>
        <charset val="128"/>
      </rPr>
      <t>T</t>
    </r>
    <r>
      <rPr>
        <sz val="9"/>
        <color theme="1"/>
        <rFont val="ＭＳ ゴシック"/>
        <family val="3"/>
        <charset val="128"/>
      </rPr>
      <t>×16通り</t>
    </r>
    <rPh sb="0" eb="2">
      <t>ギョウレツ</t>
    </rPh>
    <rPh sb="8" eb="9">
      <t>トオ</t>
    </rPh>
    <phoneticPr fontId="1"/>
  </si>
  <si>
    <r>
      <t>x</t>
    </r>
    <r>
      <rPr>
        <vertAlign val="subscript"/>
        <sz val="9"/>
        <color theme="1"/>
        <rFont val="ＭＳ ゴシック"/>
        <family val="3"/>
        <charset val="128"/>
      </rPr>
      <t>1</t>
    </r>
    <phoneticPr fontId="1"/>
  </si>
  <si>
    <r>
      <t>x</t>
    </r>
    <r>
      <rPr>
        <vertAlign val="subscript"/>
        <sz val="9"/>
        <color theme="1"/>
        <rFont val="ＭＳ ゴシック"/>
        <family val="3"/>
        <charset val="128"/>
      </rPr>
      <t>2</t>
    </r>
    <phoneticPr fontId="1"/>
  </si>
  <si>
    <r>
      <t>x</t>
    </r>
    <r>
      <rPr>
        <vertAlign val="subscript"/>
        <sz val="9"/>
        <color theme="1"/>
        <rFont val="ＭＳ ゴシック"/>
        <family val="3"/>
        <charset val="128"/>
      </rPr>
      <t>3</t>
    </r>
    <phoneticPr fontId="1"/>
  </si>
  <si>
    <r>
      <t>x</t>
    </r>
    <r>
      <rPr>
        <vertAlign val="subscript"/>
        <sz val="9"/>
        <color theme="1"/>
        <rFont val="ＭＳ ゴシック"/>
        <family val="3"/>
        <charset val="128"/>
      </rPr>
      <t>4</t>
    </r>
    <phoneticPr fontId="1"/>
  </si>
  <si>
    <r>
      <t>行列：G</t>
    </r>
    <r>
      <rPr>
        <vertAlign val="superscript"/>
        <sz val="9"/>
        <color theme="1"/>
        <rFont val="ＭＳ ゴシック"/>
        <family val="3"/>
        <charset val="128"/>
      </rPr>
      <t>T</t>
    </r>
    <r>
      <rPr>
        <sz val="9"/>
        <color theme="1"/>
        <rFont val="ＭＳ ゴシック"/>
        <family val="3"/>
        <charset val="128"/>
      </rPr>
      <t>　※F毎</t>
    </r>
    <rPh sb="0" eb="2">
      <t>ギョウレツ</t>
    </rPh>
    <rPh sb="8" eb="9">
      <t>マイ</t>
    </rPh>
    <phoneticPr fontId="1"/>
  </si>
  <si>
    <r>
      <t>G = P・F</t>
    </r>
    <r>
      <rPr>
        <vertAlign val="superscript"/>
        <sz val="9"/>
        <color theme="1"/>
        <rFont val="ＭＳ ゴシック"/>
        <family val="3"/>
        <charset val="128"/>
      </rPr>
      <t>T</t>
    </r>
    <phoneticPr fontId="1"/>
  </si>
  <si>
    <r>
      <t>Y</t>
    </r>
    <r>
      <rPr>
        <vertAlign val="subscript"/>
        <sz val="9"/>
        <color theme="1"/>
        <rFont val="ＭＳ ゴシック"/>
        <family val="3"/>
        <charset val="128"/>
      </rPr>
      <t>1</t>
    </r>
    <phoneticPr fontId="1"/>
  </si>
  <si>
    <r>
      <t>Y</t>
    </r>
    <r>
      <rPr>
        <vertAlign val="subscript"/>
        <sz val="9"/>
        <color theme="1"/>
        <rFont val="ＭＳ ゴシック"/>
        <family val="3"/>
        <charset val="128"/>
      </rPr>
      <t>2</t>
    </r>
    <phoneticPr fontId="1"/>
  </si>
  <si>
    <r>
      <t>Y</t>
    </r>
    <r>
      <rPr>
        <vertAlign val="subscript"/>
        <sz val="9"/>
        <color theme="1"/>
        <rFont val="ＭＳ ゴシック"/>
        <family val="3"/>
        <charset val="128"/>
      </rPr>
      <t>3</t>
    </r>
    <phoneticPr fontId="1"/>
  </si>
  <si>
    <r>
      <t>　符号化データ：Y</t>
    </r>
    <r>
      <rPr>
        <vertAlign val="superscript"/>
        <sz val="9"/>
        <color theme="1"/>
        <rFont val="ＭＳ ゴシック"/>
        <family val="3"/>
        <charset val="128"/>
      </rPr>
      <t>T</t>
    </r>
    <r>
      <rPr>
        <sz val="9"/>
        <color theme="1"/>
        <rFont val="ＭＳ ゴシック"/>
        <family val="3"/>
        <charset val="128"/>
      </rPr>
      <t>×16通り</t>
    </r>
    <rPh sb="13" eb="14">
      <t>トオ</t>
    </rPh>
    <phoneticPr fontId="1"/>
  </si>
  <si>
    <t>※灰色の値は、複合化時に</t>
    <rPh sb="1" eb="3">
      <t>ハイイロ</t>
    </rPh>
    <rPh sb="4" eb="5">
      <t>アタイ</t>
    </rPh>
    <rPh sb="7" eb="9">
      <t>フクゴウ</t>
    </rPh>
    <rPh sb="9" eb="10">
      <t>カ</t>
    </rPh>
    <rPh sb="10" eb="11">
      <t>ジ</t>
    </rPh>
    <phoneticPr fontId="1"/>
  </si>
  <si>
    <t>　パリティ判定を兼用する場合に使用する</t>
    <rPh sb="15" eb="17">
      <t>シヨウ</t>
    </rPh>
    <phoneticPr fontId="1"/>
  </si>
  <si>
    <r>
      <t>行列：A</t>
    </r>
    <r>
      <rPr>
        <vertAlign val="superscript"/>
        <sz val="9"/>
        <color theme="1"/>
        <rFont val="ＭＳ ゴシック"/>
        <family val="3"/>
        <charset val="128"/>
      </rPr>
      <t>T</t>
    </r>
    <rPh sb="0" eb="2">
      <t>ギョウレツ</t>
    </rPh>
    <phoneticPr fontId="1"/>
  </si>
  <si>
    <r>
      <t>G = [ I</t>
    </r>
    <r>
      <rPr>
        <vertAlign val="subscript"/>
        <sz val="9"/>
        <color theme="1"/>
        <rFont val="ＭＳ ゴシック"/>
        <family val="3"/>
        <charset val="128"/>
      </rPr>
      <t>k</t>
    </r>
    <r>
      <rPr>
        <sz val="9"/>
        <color theme="1"/>
        <rFont val="ＭＳ ゴシック"/>
        <family val="3"/>
        <charset val="128"/>
      </rPr>
      <t xml:space="preserve"> A</t>
    </r>
    <r>
      <rPr>
        <vertAlign val="superscript"/>
        <sz val="9"/>
        <color theme="1"/>
        <rFont val="ＭＳ ゴシック"/>
        <family val="3"/>
        <charset val="128"/>
      </rPr>
      <t>T</t>
    </r>
    <r>
      <rPr>
        <sz val="9"/>
        <color theme="1"/>
        <rFont val="ＭＳ ゴシック"/>
        <family val="3"/>
        <charset val="128"/>
      </rPr>
      <t xml:space="preserve"> ]</t>
    </r>
    <phoneticPr fontId="1"/>
  </si>
  <si>
    <r>
      <t>H = [ A I</t>
    </r>
    <r>
      <rPr>
        <vertAlign val="subscript"/>
        <sz val="9"/>
        <color theme="1"/>
        <rFont val="ＭＳ ゴシック"/>
        <family val="3"/>
        <charset val="128"/>
      </rPr>
      <t>m</t>
    </r>
    <r>
      <rPr>
        <sz val="9"/>
        <color theme="1"/>
        <rFont val="ＭＳ ゴシック"/>
        <family val="3"/>
        <charset val="128"/>
      </rPr>
      <t xml:space="preserve"> ]</t>
    </r>
    <phoneticPr fontId="1"/>
  </si>
  <si>
    <t>※組織符号（行列A全体と同じ形）</t>
    <rPh sb="1" eb="3">
      <t>ソシキ</t>
    </rPh>
    <rPh sb="3" eb="5">
      <t>フゴウ</t>
    </rPh>
    <rPh sb="6" eb="8">
      <t>ギョウレツ</t>
    </rPh>
    <rPh sb="9" eb="11">
      <t>ゼンタイ</t>
    </rPh>
    <rPh sb="12" eb="13">
      <t>オナ</t>
    </rPh>
    <rPh sb="14" eb="15">
      <t>カタチ</t>
    </rPh>
    <phoneticPr fontId="1"/>
  </si>
  <si>
    <r>
      <t>行列：H</t>
    </r>
    <r>
      <rPr>
        <sz val="9"/>
        <color rgb="FFFF0000"/>
        <rFont val="ＭＳ ゴシック"/>
        <family val="3"/>
        <charset val="128"/>
      </rPr>
      <t>（検査行列）</t>
    </r>
    <rPh sb="0" eb="2">
      <t>ギョウレツ</t>
    </rPh>
    <rPh sb="5" eb="7">
      <t>ケンサ</t>
    </rPh>
    <rPh sb="7" eb="9">
      <t>ギョウレツ</t>
    </rPh>
    <phoneticPr fontId="1"/>
  </si>
  <si>
    <r>
      <t>行列：G</t>
    </r>
    <r>
      <rPr>
        <sz val="9"/>
        <color rgb="FFFF0000"/>
        <rFont val="ＭＳ ゴシック"/>
        <family val="3"/>
        <charset val="128"/>
      </rPr>
      <t>（生成行列）</t>
    </r>
    <rPh sb="0" eb="2">
      <t>ギョウレツ</t>
    </rPh>
    <rPh sb="5" eb="7">
      <t>セイセイ</t>
    </rPh>
    <rPh sb="7" eb="9">
      <t>ギョウレツ</t>
    </rPh>
    <phoneticPr fontId="1"/>
  </si>
  <si>
    <t>※列上の有効ビット数が2以上のk×m行列</t>
  </si>
  <si>
    <t>※列上の有効ビット数が</t>
    <phoneticPr fontId="1"/>
  </si>
  <si>
    <t>　2以上のk×m行列</t>
    <phoneticPr fontId="1"/>
  </si>
  <si>
    <t>名称：</t>
    <rPh sb="0" eb="2">
      <t>メイショウ</t>
    </rPh>
    <phoneticPr fontId="1"/>
  </si>
  <si>
    <t>※重複のない任意の行列</t>
    <rPh sb="1" eb="3">
      <t>チョウフク</t>
    </rPh>
    <rPh sb="6" eb="8">
      <t>ニンイ</t>
    </rPh>
    <rPh sb="9" eb="11">
      <t>ギョウレツ</t>
    </rPh>
    <phoneticPr fontId="1"/>
  </si>
  <si>
    <t>←パリティ相違</t>
    <rPh sb="5" eb="7">
      <t>ソウイ</t>
    </rPh>
    <phoneticPr fontId="1"/>
  </si>
  <si>
    <t>【入力欄】</t>
    <rPh sb="1" eb="3">
      <t>ニュウリョク</t>
    </rPh>
    <rPh sb="3" eb="4">
      <t>ラン</t>
    </rPh>
    <phoneticPr fontId="1"/>
  </si>
  <si>
    <t>パリティ実測</t>
    <rPh sb="4" eb="6">
      <t>ジッソク</t>
    </rPh>
    <phoneticPr fontId="1"/>
  </si>
  <si>
    <r>
      <t>S</t>
    </r>
    <r>
      <rPr>
        <vertAlign val="superscript"/>
        <sz val="9"/>
        <color theme="1"/>
        <rFont val="ＭＳ ゴシック"/>
        <family val="3"/>
        <charset val="128"/>
      </rPr>
      <t>T</t>
    </r>
    <r>
      <rPr>
        <sz val="9"/>
        <color theme="1"/>
        <rFont val="ＭＳ ゴシック"/>
        <family val="3"/>
        <charset val="128"/>
      </rPr>
      <t xml:space="preserve"> = Y'・H</t>
    </r>
    <r>
      <rPr>
        <vertAlign val="superscript"/>
        <sz val="9"/>
        <color theme="1"/>
        <rFont val="ＭＳ ゴシック"/>
        <family val="3"/>
        <charset val="128"/>
      </rPr>
      <t>T</t>
    </r>
    <r>
      <rPr>
        <sz val="9"/>
        <color theme="1"/>
        <rFont val="ＭＳ ゴシック"/>
        <family val="3"/>
        <charset val="128"/>
      </rPr>
      <t/>
    </r>
    <phoneticPr fontId="1"/>
  </si>
  <si>
    <r>
      <t>シンドローム：S</t>
    </r>
    <r>
      <rPr>
        <vertAlign val="superscript"/>
        <sz val="9"/>
        <color theme="1"/>
        <rFont val="ＭＳ ゴシック"/>
        <family val="3"/>
        <charset val="128"/>
      </rPr>
      <t>T</t>
    </r>
    <phoneticPr fontId="1"/>
  </si>
  <si>
    <r>
      <t>※Y・H</t>
    </r>
    <r>
      <rPr>
        <vertAlign val="superscript"/>
        <sz val="9"/>
        <color theme="1"/>
        <rFont val="ＭＳ ゴシック"/>
        <family val="3"/>
        <charset val="128"/>
      </rPr>
      <t>T</t>
    </r>
    <r>
      <rPr>
        <sz val="9"/>
        <color theme="1"/>
        <rFont val="ＭＳ ゴシック"/>
        <family val="3"/>
        <charset val="128"/>
      </rPr>
      <t xml:space="preserve"> = (x・G)</t>
    </r>
    <r>
      <rPr>
        <vertAlign val="superscript"/>
        <sz val="9"/>
        <color theme="1"/>
        <rFont val="ＭＳ ゴシック"/>
        <family val="3"/>
        <charset val="128"/>
      </rPr>
      <t>T</t>
    </r>
    <r>
      <rPr>
        <sz val="9"/>
        <color theme="1"/>
        <rFont val="ＭＳ ゴシック"/>
        <family val="3"/>
        <charset val="128"/>
      </rPr>
      <t>・H</t>
    </r>
    <r>
      <rPr>
        <vertAlign val="superscript"/>
        <sz val="9"/>
        <color theme="1"/>
        <rFont val="ＭＳ ゴシック"/>
        <family val="3"/>
        <charset val="128"/>
      </rPr>
      <t>T</t>
    </r>
    <r>
      <rPr>
        <sz val="9"/>
        <color theme="1"/>
        <rFont val="ＭＳ ゴシック"/>
        <family val="3"/>
        <charset val="128"/>
      </rPr>
      <t xml:space="preserve"> = x・(G・H</t>
    </r>
    <r>
      <rPr>
        <vertAlign val="superscript"/>
        <sz val="9"/>
        <color theme="1"/>
        <rFont val="ＭＳ ゴシック"/>
        <family val="3"/>
        <charset val="128"/>
      </rPr>
      <t>T</t>
    </r>
    <r>
      <rPr>
        <sz val="9"/>
        <color theme="1"/>
        <rFont val="ＭＳ ゴシック"/>
        <family val="3"/>
        <charset val="128"/>
      </rPr>
      <t>)</t>
    </r>
    <r>
      <rPr>
        <vertAlign val="superscript"/>
        <sz val="9"/>
        <color theme="1"/>
        <rFont val="ＭＳ ゴシック"/>
        <family val="3"/>
        <charset val="128"/>
      </rPr>
      <t xml:space="preserve"> </t>
    </r>
    <r>
      <rPr>
        <sz val="9"/>
        <color theme="1"/>
        <rFont val="ＭＳ ゴシック"/>
        <family val="3"/>
        <charset val="128"/>
      </rPr>
      <t>= 0</t>
    </r>
    <phoneticPr fontId="1"/>
  </si>
  <si>
    <t>≪拡張ハミング符号計算≫</t>
    <rPh sb="1" eb="3">
      <t>カクチョウ</t>
    </rPh>
    <rPh sb="7" eb="9">
      <t>フゴウ</t>
    </rPh>
    <rPh sb="9" eb="11">
      <t>ケイサン</t>
    </rPh>
    <phoneticPr fontId="1"/>
  </si>
  <si>
    <t>パリティ：</t>
    <phoneticPr fontId="1"/>
  </si>
  <si>
    <t>※パリティビット数</t>
    <rPh sb="7" eb="8">
      <t>スウ</t>
    </rPh>
    <phoneticPr fontId="1"/>
  </si>
  <si>
    <t>←パリティ</t>
    <phoneticPr fontId="1"/>
  </si>
  <si>
    <r>
      <t>※情報：x</t>
    </r>
    <r>
      <rPr>
        <vertAlign val="superscript"/>
        <sz val="9"/>
        <color theme="1"/>
        <rFont val="ＭＳ ゴシック"/>
        <family val="3"/>
        <charset val="128"/>
      </rPr>
      <t>T</t>
    </r>
    <rPh sb="1" eb="3">
      <t>ジョウホウ</t>
    </rPh>
    <phoneticPr fontId="1"/>
  </si>
  <si>
    <t>※任意の4ビット</t>
    <phoneticPr fontId="1"/>
  </si>
  <si>
    <t>プログラムによる符号化テスト：</t>
    <rPh sb="8" eb="11">
      <t>フゴウカ</t>
    </rPh>
    <phoneticPr fontId="1"/>
  </si>
  <si>
    <t>シンドローム：</t>
    <phoneticPr fontId="1"/>
  </si>
  <si>
    <t>誤り位置：</t>
    <rPh sb="0" eb="1">
      <t>アヤマ</t>
    </rPh>
    <rPh sb="2" eb="4">
      <t>イチ</t>
    </rPh>
    <phoneticPr fontId="1"/>
  </si>
  <si>
    <t>プログラムによる複合化テスト</t>
    <rPh sb="8" eb="11">
      <t>フクゴウカ</t>
    </rPh>
    <phoneticPr fontId="1"/>
  </si>
  <si>
    <t>※誤りビット数 = 0 … シンドローム=0(OK)、パリティ相違なし(OK)なら、符号化データの上位4ビットを採用</t>
    <rPh sb="1" eb="2">
      <t>アヤマ</t>
    </rPh>
    <rPh sb="6" eb="7">
      <t>スウ</t>
    </rPh>
    <rPh sb="31" eb="33">
      <t>ソウイ</t>
    </rPh>
    <rPh sb="42" eb="45">
      <t>フゴウカ</t>
    </rPh>
    <rPh sb="49" eb="51">
      <t>ジョウイ</t>
    </rPh>
    <rPh sb="56" eb="58">
      <t>サイヨウ</t>
    </rPh>
    <phoneticPr fontId="1"/>
  </si>
  <si>
    <t>※誤りビット数 = 1 … シンドローム=0(OK)、パリティ相違あり(NG)なら、符号化データの上位4ビットを採用</t>
    <rPh sb="1" eb="2">
      <t>アヤマ</t>
    </rPh>
    <rPh sb="6" eb="7">
      <t>スウ</t>
    </rPh>
    <rPh sb="31" eb="33">
      <t>ソウイ</t>
    </rPh>
    <rPh sb="42" eb="45">
      <t>フゴウカ</t>
    </rPh>
    <rPh sb="49" eb="51">
      <t>ジョウイ</t>
    </rPh>
    <rPh sb="56" eb="58">
      <t>サイヨウ</t>
    </rPh>
    <phoneticPr fontId="1"/>
  </si>
  <si>
    <t>※誤りビット数 = 2 … シンドローム!=0(NG)、パリティ相違なし(OK)なら、訂正不能</t>
    <rPh sb="1" eb="2">
      <t>アヤマ</t>
    </rPh>
    <rPh sb="6" eb="7">
      <t>スウ</t>
    </rPh>
    <rPh sb="32" eb="34">
      <t>ソウイ</t>
    </rPh>
    <rPh sb="43" eb="45">
      <t>テイセイ</t>
    </rPh>
    <rPh sb="45" eb="47">
      <t>フノウ</t>
    </rPh>
    <phoneticPr fontId="1"/>
  </si>
  <si>
    <t>※誤りビット数 = 0 … ハミング距離0のデータあり(OK)、パリティ相違なし(OK)なら、ハミング距離0のデータ採用</t>
    <rPh sb="1" eb="2">
      <t>アヤマ</t>
    </rPh>
    <rPh sb="6" eb="7">
      <t>スウ</t>
    </rPh>
    <rPh sb="18" eb="20">
      <t>キョリ</t>
    </rPh>
    <rPh sb="36" eb="38">
      <t>ソウイ</t>
    </rPh>
    <rPh sb="51" eb="53">
      <t>キョリ</t>
    </rPh>
    <rPh sb="58" eb="60">
      <t>サイヨウ</t>
    </rPh>
    <phoneticPr fontId="1"/>
  </si>
  <si>
    <t>※誤りビット数 = 2 … ハミング距離0のデータなし(NG)、パリティ相違なし(OK)なら、修正不能</t>
    <rPh sb="1" eb="2">
      <t>アヤマ</t>
    </rPh>
    <rPh sb="6" eb="7">
      <t>スウ</t>
    </rPh>
    <rPh sb="18" eb="20">
      <t>キョリ</t>
    </rPh>
    <rPh sb="47" eb="49">
      <t>シュウセイ</t>
    </rPh>
    <rPh sb="49" eb="51">
      <t>フノウ</t>
    </rPh>
    <phoneticPr fontId="1"/>
  </si>
  <si>
    <t>※誤りビット数 = 1 … ハミング距離0のデータあり(OK)、パリティ相違あり(NG)なら、ハミング距離0のデータ採用</t>
    <rPh sb="1" eb="2">
      <t>アヤマ</t>
    </rPh>
    <rPh sb="6" eb="7">
      <t>スウ</t>
    </rPh>
    <rPh sb="18" eb="20">
      <t>キョリ</t>
    </rPh>
    <rPh sb="51" eb="53">
      <t>キョリ</t>
    </rPh>
    <rPh sb="58" eb="60">
      <t>サイヨウ</t>
    </rPh>
    <phoneticPr fontId="1"/>
  </si>
  <si>
    <t>※誤りビット数 = 1 … ハミング距離0のデータなし(NG)、パリティ相違あり(NG)なら、ハミング距離1のデータ採用</t>
    <rPh sb="1" eb="2">
      <t>アヤマ</t>
    </rPh>
    <rPh sb="6" eb="7">
      <t>スウ</t>
    </rPh>
    <rPh sb="18" eb="20">
      <t>キョリ</t>
    </rPh>
    <phoneticPr fontId="1"/>
  </si>
  <si>
    <t>複合化した値：</t>
    <rPh sb="0" eb="3">
      <t>フクゴウカ</t>
    </rPh>
    <rPh sb="5" eb="6">
      <t>アタイ</t>
    </rPh>
    <phoneticPr fontId="1"/>
  </si>
  <si>
    <t>※誤りビット数 = 1 … シンドローム!=0(NG)、パリティ相違あり(NG)なら、符号化データの誤り位置のビットを反転した上で、上位4ビットを採用</t>
    <rPh sb="1" eb="2">
      <t>アヤマ</t>
    </rPh>
    <rPh sb="6" eb="7">
      <t>スウ</t>
    </rPh>
    <rPh sb="43" eb="46">
      <t>フゴウカ</t>
    </rPh>
    <rPh sb="50" eb="51">
      <t>アヤマ</t>
    </rPh>
    <rPh sb="52" eb="54">
      <t>イチ</t>
    </rPh>
    <rPh sb="59" eb="61">
      <t>ハンテン</t>
    </rPh>
    <rPh sb="63" eb="64">
      <t>ウエ</t>
    </rPh>
    <rPh sb="66" eb="68">
      <t>ジョウイ</t>
    </rPh>
    <rPh sb="73" eb="75">
      <t>サイヨウ</t>
    </rPh>
    <phoneticPr fontId="1"/>
  </si>
  <si>
    <t>訂正不能：</t>
    <rPh sb="0" eb="2">
      <t>テイセイ</t>
    </rPh>
    <rPh sb="2" eb="4">
      <t>フノウ</t>
    </rPh>
    <phoneticPr fontId="1"/>
  </si>
  <si>
    <r>
      <t>= 2</t>
    </r>
    <r>
      <rPr>
        <vertAlign val="superscript"/>
        <sz val="11"/>
        <color theme="1"/>
        <rFont val="ＭＳ ゴシック"/>
        <family val="3"/>
        <charset val="128"/>
      </rPr>
      <t>m</t>
    </r>
    <r>
      <rPr>
        <sz val="11"/>
        <color theme="1"/>
        <rFont val="ＭＳ ゴシック"/>
        <family val="3"/>
        <charset val="128"/>
      </rPr>
      <t xml:space="preserve"> - 1</t>
    </r>
    <phoneticPr fontId="1"/>
  </si>
  <si>
    <r>
      <t>誤りe</t>
    </r>
    <r>
      <rPr>
        <vertAlign val="subscript"/>
        <sz val="11"/>
        <color theme="1"/>
        <rFont val="ＭＳ ゴシック"/>
        <family val="3"/>
        <charset val="128"/>
      </rPr>
      <t>i</t>
    </r>
    <r>
      <rPr>
        <sz val="11"/>
        <color theme="1"/>
        <rFont val="ＭＳ ゴシック"/>
        <family val="3"/>
        <charset val="128"/>
      </rPr>
      <t>：</t>
    </r>
    <rPh sb="0" eb="1">
      <t>アヤマ</t>
    </rPh>
    <phoneticPr fontId="1"/>
  </si>
  <si>
    <r>
      <rPr>
        <b/>
        <sz val="11"/>
        <color theme="1"/>
        <rFont val="ＭＳ ゴシック"/>
        <family val="3"/>
        <charset val="128"/>
      </rPr>
      <t>方法①</t>
    </r>
    <r>
      <rPr>
        <sz val="11"/>
        <color theme="1"/>
        <rFont val="ＭＳ ゴシック"/>
        <family val="3"/>
        <charset val="128"/>
      </rPr>
      <t>　引用：Wikipedia</t>
    </r>
    <rPh sb="0" eb="2">
      <t>ホウホウ</t>
    </rPh>
    <rPh sb="4" eb="6">
      <t>インヨウ</t>
    </rPh>
    <phoneticPr fontId="1"/>
  </si>
  <si>
    <r>
      <rPr>
        <b/>
        <sz val="11"/>
        <color theme="1"/>
        <rFont val="ＭＳ ゴシック"/>
        <family val="3"/>
        <charset val="128"/>
      </rPr>
      <t>方法②　</t>
    </r>
    <r>
      <rPr>
        <sz val="11"/>
        <color theme="1"/>
        <rFont val="ＭＳ ゴシック"/>
        <family val="3"/>
        <charset val="128"/>
      </rPr>
      <t>引用：信州大学</t>
    </r>
    <rPh sb="0" eb="2">
      <t>ホウホウ</t>
    </rPh>
    <rPh sb="4" eb="6">
      <t>インヨウ</t>
    </rPh>
    <rPh sb="7" eb="9">
      <t>シンシュウ</t>
    </rPh>
    <rPh sb="9" eb="11">
      <t>ダイガク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</si>
</sst>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b/>
      <sz val="9"/>
      <color theme="1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vertAlign val="superscript"/>
      <sz val="9"/>
      <color theme="1"/>
      <name val="ＭＳ ゴシック"/>
      <family val="3"/>
      <charset val="128"/>
    </font>
    <font>
      <vertAlign val="subscript"/>
      <sz val="9"/>
      <color theme="1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sz val="9"/>
      <color theme="0" tint="-0.249977111117893"/>
      <name val="ＭＳ ゴシック"/>
      <family val="3"/>
      <charset val="128"/>
    </font>
    <font>
      <b/>
      <sz val="9"/>
      <color rgb="FF00B050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vertAlign val="superscript"/>
      <sz val="11"/>
      <color theme="1"/>
      <name val="ＭＳ ゴシック"/>
      <family val="3"/>
      <charset val="128"/>
    </font>
    <font>
      <b/>
      <sz val="11"/>
      <color rgb="FF00B050"/>
      <name val="ＭＳ ゴシック"/>
      <family val="3"/>
      <charset val="128"/>
    </font>
    <font>
      <u/>
      <sz val="11"/>
      <color theme="10"/>
      <name val="ＭＳ ゴシック"/>
      <family val="3"/>
      <charset val="128"/>
    </font>
    <font>
      <vertAlign val="subscript"/>
      <sz val="11"/>
      <color theme="1"/>
      <name val="ＭＳ ゴシック"/>
      <family val="3"/>
      <charset val="128"/>
    </font>
    <font>
      <b/>
      <sz val="11"/>
      <color theme="1"/>
      <name val="ＭＳ Ｐゴシック"/>
      <family val="3"/>
      <charset val="128"/>
      <scheme val="major"/>
    </font>
  </fonts>
  <fills count="1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67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4" fillId="0" borderId="0" xfId="0" applyFont="1" applyBorder="1">
      <alignment vertical="center"/>
    </xf>
    <xf numFmtId="0" fontId="4" fillId="0" borderId="0" xfId="0" applyFont="1" applyAlignment="1">
      <alignment horizontal="right"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7" fillId="6" borderId="7" xfId="0" applyFont="1" applyFill="1" applyBorder="1">
      <alignment vertical="center"/>
    </xf>
    <xf numFmtId="0" fontId="7" fillId="6" borderId="3" xfId="0" applyFont="1" applyFill="1" applyBorder="1">
      <alignment vertical="center"/>
    </xf>
    <xf numFmtId="0" fontId="7" fillId="6" borderId="4" xfId="0" applyFont="1" applyFill="1" applyBorder="1">
      <alignment vertical="center"/>
    </xf>
    <xf numFmtId="0" fontId="7" fillId="6" borderId="5" xfId="0" applyFont="1" applyFill="1" applyBorder="1">
      <alignment vertical="center"/>
    </xf>
    <xf numFmtId="0" fontId="4" fillId="5" borderId="7" xfId="0" applyFont="1" applyFill="1" applyBorder="1">
      <alignment vertical="center"/>
    </xf>
    <xf numFmtId="0" fontId="4" fillId="4" borderId="7" xfId="0" applyFont="1" applyFill="1" applyBorder="1">
      <alignment vertical="center"/>
    </xf>
    <xf numFmtId="0" fontId="4" fillId="0" borderId="10" xfId="0" applyFont="1" applyBorder="1">
      <alignment vertical="center"/>
    </xf>
    <xf numFmtId="0" fontId="4" fillId="3" borderId="3" xfId="0" applyFont="1" applyFill="1" applyBorder="1">
      <alignment vertical="center"/>
    </xf>
    <xf numFmtId="0" fontId="4" fillId="3" borderId="4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7" fillId="6" borderId="8" xfId="0" applyFont="1" applyFill="1" applyBorder="1">
      <alignment vertical="center"/>
    </xf>
    <xf numFmtId="0" fontId="4" fillId="5" borderId="8" xfId="0" applyFont="1" applyFill="1" applyBorder="1">
      <alignment vertical="center"/>
    </xf>
    <xf numFmtId="0" fontId="4" fillId="4" borderId="8" xfId="0" applyFont="1" applyFill="1" applyBorder="1">
      <alignment vertical="center"/>
    </xf>
    <xf numFmtId="0" fontId="4" fillId="0" borderId="0" xfId="0" applyFont="1" applyFill="1" applyBorder="1" applyAlignment="1">
      <alignment horizontal="right" vertical="center"/>
    </xf>
    <xf numFmtId="0" fontId="4" fillId="5" borderId="3" xfId="0" applyFont="1" applyFill="1" applyBorder="1">
      <alignment vertical="center"/>
    </xf>
    <xf numFmtId="0" fontId="4" fillId="5" borderId="4" xfId="0" applyFont="1" applyFill="1" applyBorder="1">
      <alignment vertical="center"/>
    </xf>
    <xf numFmtId="0" fontId="4" fillId="5" borderId="5" xfId="0" applyFont="1" applyFill="1" applyBorder="1">
      <alignment vertical="center"/>
    </xf>
    <xf numFmtId="0" fontId="8" fillId="0" borderId="0" xfId="0" applyFont="1">
      <alignment vertical="center"/>
    </xf>
    <xf numFmtId="0" fontId="4" fillId="4" borderId="3" xfId="0" applyFont="1" applyFill="1" applyBorder="1">
      <alignment vertical="center"/>
    </xf>
    <xf numFmtId="0" fontId="4" fillId="4" borderId="4" xfId="0" applyFont="1" applyFill="1" applyBorder="1">
      <alignment vertical="center"/>
    </xf>
    <xf numFmtId="0" fontId="4" fillId="4" borderId="5" xfId="0" applyFont="1" applyFill="1" applyBorder="1">
      <alignment vertical="center"/>
    </xf>
    <xf numFmtId="0" fontId="4" fillId="0" borderId="0" xfId="0" applyFont="1" applyFill="1" applyBorder="1">
      <alignment vertical="center"/>
    </xf>
    <xf numFmtId="0" fontId="7" fillId="6" borderId="9" xfId="0" applyFont="1" applyFill="1" applyBorder="1">
      <alignment vertical="center"/>
    </xf>
    <xf numFmtId="0" fontId="4" fillId="5" borderId="9" xfId="0" applyFont="1" applyFill="1" applyBorder="1">
      <alignment vertical="center"/>
    </xf>
    <xf numFmtId="0" fontId="4" fillId="4" borderId="9" xfId="0" applyFont="1" applyFill="1" applyBorder="1">
      <alignment vertical="center"/>
    </xf>
    <xf numFmtId="0" fontId="7" fillId="0" borderId="0" xfId="0" applyFont="1" applyFill="1" applyBorder="1">
      <alignment vertical="center"/>
    </xf>
    <xf numFmtId="0" fontId="4" fillId="9" borderId="7" xfId="0" applyFont="1" applyFill="1" applyBorder="1">
      <alignment vertical="center"/>
    </xf>
    <xf numFmtId="0" fontId="4" fillId="9" borderId="8" xfId="0" applyFont="1" applyFill="1" applyBorder="1">
      <alignment vertical="center"/>
    </xf>
    <xf numFmtId="0" fontId="4" fillId="9" borderId="9" xfId="0" applyFont="1" applyFill="1" applyBorder="1">
      <alignment vertical="center"/>
    </xf>
    <xf numFmtId="0" fontId="7" fillId="8" borderId="1" xfId="0" applyFont="1" applyFill="1" applyBorder="1">
      <alignment vertical="center"/>
    </xf>
    <xf numFmtId="0" fontId="9" fillId="10" borderId="12" xfId="0" applyFont="1" applyFill="1" applyBorder="1">
      <alignment vertical="center"/>
    </xf>
    <xf numFmtId="0" fontId="9" fillId="10" borderId="2" xfId="0" applyFont="1" applyFill="1" applyBorder="1">
      <alignment vertical="center"/>
    </xf>
    <xf numFmtId="0" fontId="9" fillId="10" borderId="13" xfId="0" applyFont="1" applyFill="1" applyBorder="1">
      <alignment vertical="center"/>
    </xf>
    <xf numFmtId="0" fontId="9" fillId="10" borderId="14" xfId="0" applyFont="1" applyFill="1" applyBorder="1">
      <alignment vertical="center"/>
    </xf>
    <xf numFmtId="0" fontId="9" fillId="10" borderId="15" xfId="0" applyFont="1" applyFill="1" applyBorder="1">
      <alignment vertical="center"/>
    </xf>
    <xf numFmtId="0" fontId="4" fillId="7" borderId="16" xfId="0" applyFont="1" applyFill="1" applyBorder="1">
      <alignment vertical="center"/>
    </xf>
    <xf numFmtId="0" fontId="10" fillId="0" borderId="0" xfId="0" applyFont="1">
      <alignment vertical="center"/>
    </xf>
    <xf numFmtId="0" fontId="7" fillId="8" borderId="16" xfId="0" applyFont="1" applyFill="1" applyBorder="1">
      <alignment vertical="center"/>
    </xf>
    <xf numFmtId="0" fontId="10" fillId="0" borderId="0" xfId="0" applyFont="1" applyFill="1" applyBorder="1">
      <alignment vertical="center"/>
    </xf>
    <xf numFmtId="0" fontId="4" fillId="0" borderId="17" xfId="0" applyFont="1" applyBorder="1">
      <alignment vertical="center"/>
    </xf>
    <xf numFmtId="0" fontId="4" fillId="0" borderId="18" xfId="0" applyFont="1" applyBorder="1">
      <alignment vertical="center"/>
    </xf>
    <xf numFmtId="0" fontId="4" fillId="0" borderId="0" xfId="0" applyFont="1" applyFill="1">
      <alignment vertical="center"/>
    </xf>
    <xf numFmtId="0" fontId="4" fillId="11" borderId="0" xfId="0" applyFont="1" applyFill="1" applyBorder="1">
      <alignment vertical="center"/>
    </xf>
    <xf numFmtId="0" fontId="4" fillId="11" borderId="0" xfId="0" applyFont="1" applyFill="1">
      <alignment vertical="center"/>
    </xf>
    <xf numFmtId="0" fontId="4" fillId="11" borderId="0" xfId="0" applyFont="1" applyFill="1" applyAlignment="1">
      <alignment horizontal="right" vertical="center"/>
    </xf>
    <xf numFmtId="0" fontId="4" fillId="11" borderId="0" xfId="0" applyFont="1" applyFill="1" applyAlignment="1">
      <alignment horizontal="center" vertical="center"/>
    </xf>
    <xf numFmtId="0" fontId="12" fillId="0" borderId="0" xfId="0" applyFont="1">
      <alignment vertical="center"/>
    </xf>
    <xf numFmtId="0" fontId="12" fillId="0" borderId="0" xfId="0" quotePrefix="1" applyFont="1">
      <alignment vertical="center"/>
    </xf>
    <xf numFmtId="0" fontId="12" fillId="0" borderId="11" xfId="0" applyFont="1" applyBorder="1">
      <alignment vertical="center"/>
    </xf>
    <xf numFmtId="0" fontId="12" fillId="0" borderId="0" xfId="0" applyFont="1" applyBorder="1">
      <alignment vertical="center"/>
    </xf>
    <xf numFmtId="0" fontId="12" fillId="0" borderId="0" xfId="0" quotePrefix="1" applyFont="1" applyBorder="1">
      <alignment vertical="center"/>
    </xf>
    <xf numFmtId="0" fontId="14" fillId="0" borderId="0" xfId="0" applyFont="1" applyBorder="1">
      <alignment vertical="center"/>
    </xf>
    <xf numFmtId="0" fontId="15" fillId="0" borderId="0" xfId="1" applyFont="1" applyBorder="1">
      <alignment vertical="center"/>
    </xf>
    <xf numFmtId="0" fontId="12" fillId="0" borderId="0" xfId="0" applyFont="1" applyBorder="1" applyAlignment="1">
      <alignment horizontal="right" vertical="center"/>
    </xf>
    <xf numFmtId="0" fontId="12" fillId="7" borderId="16" xfId="0" applyFont="1" applyFill="1" applyBorder="1">
      <alignment vertical="center"/>
    </xf>
    <xf numFmtId="0" fontId="12" fillId="11" borderId="0" xfId="0" applyFont="1" applyFill="1" applyBorder="1">
      <alignment vertical="center"/>
    </xf>
    <xf numFmtId="0" fontId="12" fillId="11" borderId="0" xfId="0" applyFont="1" applyFill="1">
      <alignment vertical="center"/>
    </xf>
    <xf numFmtId="0" fontId="17" fillId="0" borderId="0" xfId="0" applyFont="1">
      <alignment vertical="center"/>
    </xf>
    <xf numFmtId="0" fontId="12" fillId="0" borderId="6" xfId="0" applyFont="1" applyBorder="1">
      <alignment vertical="center"/>
    </xf>
    <xf numFmtId="0" fontId="15" fillId="0" borderId="0" xfId="1" applyFont="1">
      <alignment vertical="center"/>
    </xf>
  </cellXfs>
  <cellStyles count="2">
    <cellStyle name="ハイパーリンク" xfId="1" builtinId="8"/>
    <cellStyle name="標準" xfId="0" builtinId="0"/>
  </cellStyles>
  <dxfs count="12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://ja.wikipedia.org/wiki/%E3%83%8F%E3%83%9F%E3%83%B3%E3%82%B0%E7%AC%A6%E5%8F%B7" TargetMode="External"/><Relationship Id="rId1" Type="http://schemas.openxmlformats.org/officeDocument/2006/relationships/hyperlink" Target="http://intuniv.cs.shinshu-u.ac.jp/Lecture/error_correcting_code/Book/Section5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R76"/>
  <sheetViews>
    <sheetView showGridLines="0" tabSelected="1" zoomScale="90" zoomScaleNormal="90" workbookViewId="0"/>
  </sheetViews>
  <sheetFormatPr defaultColWidth="2.625" defaultRowHeight="11.25" x14ac:dyDescent="0.15"/>
  <cols>
    <col min="1" max="3" width="2.625" style="2"/>
    <col min="4" max="5" width="2.625" style="2" customWidth="1"/>
    <col min="6" max="13" width="2.625" style="2"/>
    <col min="14" max="14" width="2.625" style="2" customWidth="1"/>
    <col min="15" max="43" width="2.625" style="2"/>
    <col min="44" max="44" width="2.625" style="2" customWidth="1"/>
    <col min="45" max="45" width="2.625" style="2"/>
    <col min="46" max="46" width="2.625" style="2" customWidth="1"/>
    <col min="47" max="57" width="2.625" style="2"/>
    <col min="58" max="58" width="2.625" style="2" customWidth="1"/>
    <col min="59" max="80" width="2.625" style="2"/>
    <col min="81" max="81" width="2.625" style="2" customWidth="1"/>
    <col min="82" max="114" width="2.625" style="2"/>
    <col min="115" max="115" width="2.625" style="2" customWidth="1"/>
    <col min="116" max="131" width="2.625" style="2"/>
    <col min="132" max="132" width="2.625" style="2" customWidth="1"/>
    <col min="133" max="16384" width="2.625" style="2"/>
  </cols>
  <sheetData>
    <row r="1" spans="1:148" s="53" customFormat="1" ht="13.5" x14ac:dyDescent="0.15">
      <c r="A1" s="64" t="s">
        <v>74</v>
      </c>
    </row>
    <row r="2" spans="1:148" s="53" customFormat="1" ht="13.5" x14ac:dyDescent="0.15"/>
    <row r="3" spans="1:148" s="53" customFormat="1" ht="13.5" x14ac:dyDescent="0.15">
      <c r="A3" s="53" t="s">
        <v>9</v>
      </c>
      <c r="E3" s="53" t="s">
        <v>0</v>
      </c>
      <c r="G3" s="53">
        <v>3</v>
      </c>
      <c r="I3" s="53" t="s">
        <v>10</v>
      </c>
    </row>
    <row r="4" spans="1:148" s="53" customFormat="1" ht="15.75" x14ac:dyDescent="0.15">
      <c r="A4" s="53" t="s">
        <v>7</v>
      </c>
      <c r="E4" s="53" t="s">
        <v>1</v>
      </c>
      <c r="G4" s="53">
        <f>POWER(2,G3)-1</f>
        <v>7</v>
      </c>
      <c r="I4" s="54" t="s">
        <v>94</v>
      </c>
    </row>
    <row r="5" spans="1:148" s="53" customFormat="1" ht="13.5" x14ac:dyDescent="0.15">
      <c r="A5" s="53" t="s">
        <v>8</v>
      </c>
      <c r="E5" s="53" t="s">
        <v>2</v>
      </c>
      <c r="G5" s="53">
        <f>G4-G3</f>
        <v>4</v>
      </c>
      <c r="I5" s="54" t="s">
        <v>3</v>
      </c>
    </row>
    <row r="6" spans="1:148" s="53" customFormat="1" ht="13.5" x14ac:dyDescent="0.15">
      <c r="A6" s="53" t="s">
        <v>75</v>
      </c>
      <c r="G6" s="53">
        <v>1</v>
      </c>
      <c r="I6" s="54" t="s">
        <v>76</v>
      </c>
    </row>
    <row r="7" spans="1:148" s="53" customFormat="1" ht="13.5" x14ac:dyDescent="0.15">
      <c r="A7" s="53" t="s">
        <v>66</v>
      </c>
      <c r="E7" s="53" t="str">
        <f>"(" &amp; G4 &amp; "," &amp; G5 &amp; ")拡張ハミング符号"</f>
        <v>(7,4)拡張ハミング符号</v>
      </c>
    </row>
    <row r="8" spans="1:148" s="55" customFormat="1" ht="13.5" x14ac:dyDescent="0.15"/>
    <row r="9" spans="1:148" s="56" customFormat="1" ht="14.25" thickBot="1" x14ac:dyDescent="0.2">
      <c r="A9" s="56" t="s">
        <v>96</v>
      </c>
      <c r="J9" s="57"/>
      <c r="BU9" s="58" t="s">
        <v>69</v>
      </c>
    </row>
    <row r="10" spans="1:148" s="56" customFormat="1" ht="18" thickTop="1" thickBot="1" x14ac:dyDescent="0.2">
      <c r="A10" s="59" t="s">
        <v>15</v>
      </c>
      <c r="BT10" s="60" t="s">
        <v>95</v>
      </c>
      <c r="BU10" s="61">
        <v>0</v>
      </c>
      <c r="BV10" s="61">
        <v>0</v>
      </c>
      <c r="BW10" s="61">
        <v>0</v>
      </c>
      <c r="BX10" s="61">
        <v>0</v>
      </c>
      <c r="BY10" s="61">
        <v>0</v>
      </c>
      <c r="BZ10" s="61">
        <v>0</v>
      </c>
      <c r="CA10" s="61">
        <v>0</v>
      </c>
      <c r="CB10" s="61">
        <v>0</v>
      </c>
      <c r="CC10" s="56">
        <f>SUM(BU10:CB10)</f>
        <v>0</v>
      </c>
      <c r="DI10" s="62"/>
      <c r="DJ10" s="63" t="s">
        <v>80</v>
      </c>
      <c r="DK10" s="63"/>
      <c r="DL10" s="63"/>
      <c r="DM10" s="63"/>
      <c r="DN10" s="63"/>
      <c r="DO10" s="63"/>
      <c r="DP10" s="63"/>
      <c r="DQ10" s="63"/>
      <c r="DR10" s="63"/>
      <c r="DS10" s="63"/>
      <c r="DT10" s="63"/>
      <c r="DU10" s="63"/>
      <c r="DV10" s="63"/>
      <c r="DW10" s="63"/>
      <c r="DX10" s="63"/>
      <c r="DY10" s="63"/>
      <c r="DZ10" s="62"/>
      <c r="EA10" s="62"/>
      <c r="EB10" s="62" t="s">
        <v>83</v>
      </c>
      <c r="EC10" s="62"/>
      <c r="ED10" s="62"/>
      <c r="EE10" s="62"/>
      <c r="EF10" s="62"/>
      <c r="EG10" s="62"/>
      <c r="EH10" s="62"/>
      <c r="EI10" s="62"/>
      <c r="EJ10" s="62"/>
      <c r="EK10" s="62"/>
      <c r="EL10" s="62"/>
      <c r="EM10" s="62"/>
      <c r="EN10" s="62"/>
      <c r="EO10" s="62"/>
      <c r="EP10" s="62"/>
      <c r="EQ10" s="62"/>
      <c r="ER10" s="62"/>
    </row>
    <row r="11" spans="1:148" s="3" customFormat="1" ht="14.25" thickTop="1" thickBot="1" x14ac:dyDescent="0.2">
      <c r="BS11" s="2"/>
      <c r="BT11" s="4" t="s">
        <v>35</v>
      </c>
      <c r="BU11" s="42">
        <v>0</v>
      </c>
      <c r="BV11" s="42">
        <v>0</v>
      </c>
      <c r="BW11" s="42">
        <v>0</v>
      </c>
      <c r="BX11" s="42">
        <v>0</v>
      </c>
      <c r="BY11" s="42">
        <v>0</v>
      </c>
      <c r="BZ11" s="42">
        <v>0</v>
      </c>
      <c r="CA11" s="42">
        <v>0</v>
      </c>
      <c r="CB11" s="42">
        <v>0</v>
      </c>
      <c r="CC11" s="2">
        <f>SUM(BU11:CB11)</f>
        <v>0</v>
      </c>
      <c r="CD11" s="2"/>
      <c r="DI11" s="50"/>
      <c r="DJ11" s="8">
        <f>mulMat(HEX2DEC($AP$14),HEX2DEC($O$29))</f>
        <v>0</v>
      </c>
      <c r="DK11" s="9">
        <f>mulMat(HEX2DEC($AP$15),HEX2DEC($O$29))</f>
        <v>1</v>
      </c>
      <c r="DL11" s="9">
        <f>mulMat(HEX2DEC($AP$16),HEX2DEC($O$29))</f>
        <v>0</v>
      </c>
      <c r="DM11" s="9">
        <f>mulMat(HEX2DEC($AP$17),HEX2DEC($O$29))</f>
        <v>1</v>
      </c>
      <c r="DN11" s="9">
        <f>mulMat(HEX2DEC($AP$18),HEX2DEC($O$29))</f>
        <v>0</v>
      </c>
      <c r="DO11" s="9">
        <f>mulMat(HEX2DEC($AP$19),HEX2DEC($O$29))</f>
        <v>1</v>
      </c>
      <c r="DP11" s="9">
        <f>mulMat(HEX2DEC($AP$20),HEX2DEC($O$29))</f>
        <v>0</v>
      </c>
      <c r="DQ11" s="9">
        <f>mulMat(HEX2DEC($AP$21),HEX2DEC($O$29))</f>
        <v>1</v>
      </c>
      <c r="DR11" s="9">
        <f>mulMat(HEX2DEC($AP$22),HEX2DEC($O$29))</f>
        <v>0</v>
      </c>
      <c r="DS11" s="9">
        <f>mulMat(HEX2DEC($AP$23),HEX2DEC($O$29))</f>
        <v>1</v>
      </c>
      <c r="DT11" s="9">
        <f>mulMat(HEX2DEC($AP$24),HEX2DEC($O$29))</f>
        <v>0</v>
      </c>
      <c r="DU11" s="9">
        <f>mulMat(HEX2DEC($AP$25),HEX2DEC($O$29))</f>
        <v>1</v>
      </c>
      <c r="DV11" s="9">
        <f>mulMat(HEX2DEC($AP$26),HEX2DEC($O$29))</f>
        <v>0</v>
      </c>
      <c r="DW11" s="9">
        <f>mulMat(HEX2DEC($AP$27),HEX2DEC($O$29))</f>
        <v>1</v>
      </c>
      <c r="DX11" s="9">
        <f>mulMat(HEX2DEC($AP$28),HEX2DEC($O$29))</f>
        <v>0</v>
      </c>
      <c r="DY11" s="10">
        <f>mulMat(HEX2DEC($AP$29),HEX2DEC($O$29))</f>
        <v>1</v>
      </c>
      <c r="DZ11" s="49"/>
      <c r="EA11" s="49"/>
      <c r="EB11" s="8">
        <f>$BU$14</f>
        <v>0</v>
      </c>
      <c r="EC11" s="9">
        <f>$BU$15</f>
        <v>1</v>
      </c>
      <c r="ED11" s="9">
        <f>$BU$16</f>
        <v>0</v>
      </c>
      <c r="EE11" s="9">
        <f>$BU$17</f>
        <v>1</v>
      </c>
      <c r="EF11" s="9">
        <f>$BU$18</f>
        <v>0</v>
      </c>
      <c r="EG11" s="9">
        <f>$BU$19</f>
        <v>1</v>
      </c>
      <c r="EH11" s="9">
        <f>$BU$20</f>
        <v>0</v>
      </c>
      <c r="EI11" s="9">
        <f>$BU$21</f>
        <v>1</v>
      </c>
      <c r="EJ11" s="9">
        <f>$BU$22</f>
        <v>0</v>
      </c>
      <c r="EK11" s="9">
        <f>$BU$23</f>
        <v>1</v>
      </c>
      <c r="EL11" s="9">
        <f>$BU$24</f>
        <v>0</v>
      </c>
      <c r="EM11" s="9">
        <f>$BU$25</f>
        <v>1</v>
      </c>
      <c r="EN11" s="9">
        <f>$BU$26</f>
        <v>0</v>
      </c>
      <c r="EO11" s="9">
        <f>$BU$27</f>
        <v>1</v>
      </c>
      <c r="EP11" s="9">
        <f>$BU$28</f>
        <v>0</v>
      </c>
      <c r="EQ11" s="10">
        <f>$BU$29</f>
        <v>1</v>
      </c>
      <c r="ER11" s="49"/>
    </row>
    <row r="12" spans="1:148" ht="12" thickTop="1" x14ac:dyDescent="0.15">
      <c r="A12" s="1"/>
      <c r="BU12" s="2" t="s">
        <v>23</v>
      </c>
      <c r="BV12" s="2" t="s">
        <v>22</v>
      </c>
      <c r="BW12" s="2" t="s">
        <v>22</v>
      </c>
      <c r="BX12" s="2" t="s">
        <v>22</v>
      </c>
      <c r="BY12" s="2" t="s">
        <v>22</v>
      </c>
      <c r="BZ12" s="2" t="s">
        <v>22</v>
      </c>
      <c r="CA12" s="2" t="s">
        <v>22</v>
      </c>
      <c r="CB12" s="2" t="s">
        <v>22</v>
      </c>
      <c r="DI12" s="50"/>
      <c r="DJ12" s="8">
        <f>mulMat(HEX2DEC($AP$14),HEX2DEC($P$29))</f>
        <v>0</v>
      </c>
      <c r="DK12" s="9">
        <f>mulMat(HEX2DEC($AP$15),HEX2DEC($P$29))</f>
        <v>0</v>
      </c>
      <c r="DL12" s="9">
        <f>mulMat(HEX2DEC($AP$16),HEX2DEC($P$29))</f>
        <v>1</v>
      </c>
      <c r="DM12" s="9">
        <f>mulMat(HEX2DEC($AP$17),HEX2DEC($P$29))</f>
        <v>1</v>
      </c>
      <c r="DN12" s="9">
        <f>mulMat(HEX2DEC($AP$18),HEX2DEC($P$29))</f>
        <v>0</v>
      </c>
      <c r="DO12" s="9">
        <f>mulMat(HEX2DEC($AP$19),HEX2DEC($P$29))</f>
        <v>0</v>
      </c>
      <c r="DP12" s="9">
        <f>mulMat(HEX2DEC($AP$20),HEX2DEC($P$29))</f>
        <v>1</v>
      </c>
      <c r="DQ12" s="9">
        <f>mulMat(HEX2DEC($AP$21),HEX2DEC($P$29))</f>
        <v>1</v>
      </c>
      <c r="DR12" s="9">
        <f>mulMat(HEX2DEC($AP$22),HEX2DEC($P$29))</f>
        <v>0</v>
      </c>
      <c r="DS12" s="9">
        <f>mulMat(HEX2DEC($AP$23),HEX2DEC($P$29))</f>
        <v>0</v>
      </c>
      <c r="DT12" s="9">
        <f>mulMat(HEX2DEC($AP$24),HEX2DEC($P$29))</f>
        <v>1</v>
      </c>
      <c r="DU12" s="9">
        <f>mulMat(HEX2DEC($AP$25),HEX2DEC($P$29))</f>
        <v>1</v>
      </c>
      <c r="DV12" s="9">
        <f>mulMat(HEX2DEC($AP$26),HEX2DEC($P$29))</f>
        <v>0</v>
      </c>
      <c r="DW12" s="9">
        <f>mulMat(HEX2DEC($AP$27),HEX2DEC($P$29))</f>
        <v>0</v>
      </c>
      <c r="DX12" s="9">
        <f>mulMat(HEX2DEC($AP$28),HEX2DEC($P$29))</f>
        <v>1</v>
      </c>
      <c r="DY12" s="10">
        <f>mulMat(HEX2DEC($AP$29),HEX2DEC($P$29))</f>
        <v>1</v>
      </c>
      <c r="DZ12" s="50"/>
      <c r="EA12" s="50"/>
      <c r="EB12" s="8">
        <f>$BV$14</f>
        <v>0</v>
      </c>
      <c r="EC12" s="9">
        <f>$BV$15</f>
        <v>0</v>
      </c>
      <c r="ED12" s="9">
        <f>$BV$16</f>
        <v>1</v>
      </c>
      <c r="EE12" s="9">
        <f>$BV$17</f>
        <v>1</v>
      </c>
      <c r="EF12" s="9">
        <f>$BV$18</f>
        <v>0</v>
      </c>
      <c r="EG12" s="9">
        <f>$BV$19</f>
        <v>0</v>
      </c>
      <c r="EH12" s="9">
        <f>$BV$20</f>
        <v>1</v>
      </c>
      <c r="EI12" s="9">
        <f>$BV$21</f>
        <v>1</v>
      </c>
      <c r="EJ12" s="9">
        <f>$BV$22</f>
        <v>0</v>
      </c>
      <c r="EK12" s="9">
        <f>$BV$23</f>
        <v>0</v>
      </c>
      <c r="EL12" s="9">
        <f>$BV$24</f>
        <v>1</v>
      </c>
      <c r="EM12" s="9">
        <f>$BV$25</f>
        <v>1</v>
      </c>
      <c r="EN12" s="9">
        <f>$BV$26</f>
        <v>0</v>
      </c>
      <c r="EO12" s="9">
        <f>$BV$27</f>
        <v>0</v>
      </c>
      <c r="EP12" s="9">
        <f>$BV$28</f>
        <v>1</v>
      </c>
      <c r="EQ12" s="10">
        <f>$BV$29</f>
        <v>1</v>
      </c>
      <c r="ER12" s="50"/>
    </row>
    <row r="13" spans="1:148" ht="14.25" thickBot="1" x14ac:dyDescent="0.2">
      <c r="B13" s="2" t="s">
        <v>11</v>
      </c>
      <c r="E13" s="45" t="s">
        <v>69</v>
      </c>
      <c r="I13" s="2" t="s">
        <v>36</v>
      </c>
      <c r="O13" s="2" t="s">
        <v>61</v>
      </c>
      <c r="Y13" s="2" t="s">
        <v>42</v>
      </c>
      <c r="AE13" s="2" t="s">
        <v>37</v>
      </c>
      <c r="AL13" s="2" t="s">
        <v>17</v>
      </c>
      <c r="AR13" s="2" t="s">
        <v>38</v>
      </c>
      <c r="BL13" s="2" t="s">
        <v>4</v>
      </c>
      <c r="BT13" s="2" t="s">
        <v>18</v>
      </c>
      <c r="BU13" s="2" t="s">
        <v>5</v>
      </c>
      <c r="CE13" s="2" t="s">
        <v>70</v>
      </c>
      <c r="CJ13" s="2" t="s">
        <v>72</v>
      </c>
      <c r="CP13" s="2" t="s">
        <v>24</v>
      </c>
      <c r="DI13" s="50"/>
      <c r="DJ13" s="8">
        <f>mulMat(HEX2DEC($AP$14),HEX2DEC($Q$29))</f>
        <v>0</v>
      </c>
      <c r="DK13" s="9">
        <f>mulMat(HEX2DEC($AP$15),HEX2DEC($Q$29))</f>
        <v>0</v>
      </c>
      <c r="DL13" s="9">
        <f>mulMat(HEX2DEC($AP$16),HEX2DEC($Q$29))</f>
        <v>0</v>
      </c>
      <c r="DM13" s="9">
        <f>mulMat(HEX2DEC($AP$17),HEX2DEC($Q$29))</f>
        <v>0</v>
      </c>
      <c r="DN13" s="9">
        <f>mulMat(HEX2DEC($AP$18),HEX2DEC($Q$29))</f>
        <v>1</v>
      </c>
      <c r="DO13" s="9">
        <f>mulMat(HEX2DEC($AP$19),HEX2DEC($Q$29))</f>
        <v>1</v>
      </c>
      <c r="DP13" s="9">
        <f>mulMat(HEX2DEC($AP$20),HEX2DEC($Q$29))</f>
        <v>1</v>
      </c>
      <c r="DQ13" s="9">
        <f>mulMat(HEX2DEC($AP$21),HEX2DEC($Q$29))</f>
        <v>1</v>
      </c>
      <c r="DR13" s="9">
        <f>mulMat(HEX2DEC($AP$22),HEX2DEC($Q$29))</f>
        <v>0</v>
      </c>
      <c r="DS13" s="9">
        <f>mulMat(HEX2DEC($AP$23),HEX2DEC($Q$29))</f>
        <v>0</v>
      </c>
      <c r="DT13" s="9">
        <f>mulMat(HEX2DEC($AP$24),HEX2DEC($Q$29))</f>
        <v>0</v>
      </c>
      <c r="DU13" s="9">
        <f>mulMat(HEX2DEC($AP$25),HEX2DEC($Q$29))</f>
        <v>0</v>
      </c>
      <c r="DV13" s="9">
        <f>mulMat(HEX2DEC($AP$26),HEX2DEC($Q$29))</f>
        <v>1</v>
      </c>
      <c r="DW13" s="9">
        <f>mulMat(HEX2DEC($AP$27),HEX2DEC($Q$29))</f>
        <v>1</v>
      </c>
      <c r="DX13" s="9">
        <f>mulMat(HEX2DEC($AP$28),HEX2DEC($Q$29))</f>
        <v>1</v>
      </c>
      <c r="DY13" s="10">
        <f>mulMat(HEX2DEC($AP$29),HEX2DEC($Q$29))</f>
        <v>1</v>
      </c>
      <c r="DZ13" s="50"/>
      <c r="EA13" s="50"/>
      <c r="EB13" s="8">
        <f>$BW$14</f>
        <v>0</v>
      </c>
      <c r="EC13" s="9">
        <f>$BW$15</f>
        <v>0</v>
      </c>
      <c r="ED13" s="9">
        <f>$BW$16</f>
        <v>0</v>
      </c>
      <c r="EE13" s="9">
        <f>$BW$17</f>
        <v>0</v>
      </c>
      <c r="EF13" s="9">
        <f>$BW$18</f>
        <v>1</v>
      </c>
      <c r="EG13" s="9">
        <f>$BW$19</f>
        <v>1</v>
      </c>
      <c r="EH13" s="9">
        <f>$BW$20</f>
        <v>1</v>
      </c>
      <c r="EI13" s="9">
        <f>$BW$21</f>
        <v>1</v>
      </c>
      <c r="EJ13" s="9">
        <f>$BW$22</f>
        <v>0</v>
      </c>
      <c r="EK13" s="9">
        <f>$BW$23</f>
        <v>0</v>
      </c>
      <c r="EL13" s="9">
        <f>$BW$24</f>
        <v>0</v>
      </c>
      <c r="EM13" s="9">
        <f>$BW$25</f>
        <v>0</v>
      </c>
      <c r="EN13" s="9">
        <f>$BW$26</f>
        <v>1</v>
      </c>
      <c r="EO13" s="9">
        <f>$BW$27</f>
        <v>1</v>
      </c>
      <c r="EP13" s="9">
        <f>$BW$28</f>
        <v>1</v>
      </c>
      <c r="EQ13" s="10">
        <f>$BW$29</f>
        <v>1</v>
      </c>
      <c r="ER13" s="50"/>
    </row>
    <row r="14" spans="1:148" ht="12.75" thickTop="1" thickBot="1" x14ac:dyDescent="0.2">
      <c r="B14" s="44">
        <v>1</v>
      </c>
      <c r="C14" s="44">
        <v>0</v>
      </c>
      <c r="D14" s="44">
        <v>1</v>
      </c>
      <c r="E14" s="44">
        <v>1</v>
      </c>
      <c r="G14" s="28"/>
      <c r="H14" s="28"/>
      <c r="I14" s="5">
        <v>1</v>
      </c>
      <c r="J14" s="5">
        <v>0</v>
      </c>
      <c r="K14" s="5">
        <v>0</v>
      </c>
      <c r="O14" s="36">
        <f t="shared" ref="O14:R16" si="0">B14</f>
        <v>1</v>
      </c>
      <c r="P14" s="36">
        <f t="shared" si="0"/>
        <v>0</v>
      </c>
      <c r="Q14" s="36">
        <f t="shared" si="0"/>
        <v>1</v>
      </c>
      <c r="R14" s="36">
        <f t="shared" si="0"/>
        <v>1</v>
      </c>
      <c r="S14" s="5">
        <f>I14</f>
        <v>1</v>
      </c>
      <c r="T14" s="5">
        <f t="shared" ref="T14:T16" si="1">J14</f>
        <v>0</v>
      </c>
      <c r="U14" s="5">
        <f t="shared" ref="U14:U16" si="2">K14</f>
        <v>0</v>
      </c>
      <c r="V14" s="37">
        <v>0</v>
      </c>
      <c r="Y14" s="5">
        <f>O25</f>
        <v>1</v>
      </c>
      <c r="Z14" s="5">
        <f>O26</f>
        <v>0</v>
      </c>
      <c r="AA14" s="5">
        <f>O27</f>
        <v>0</v>
      </c>
      <c r="AB14" s="5">
        <f>O28</f>
        <v>0</v>
      </c>
      <c r="AE14" s="6">
        <f>IF(_xlfn.XOR(_xlfn.XOR(_xlfn.XOR(_xlfn.XOR(_xlfn.XOR(_xlfn.XOR($O$14*$Y$14,$P$14*$Y$15),$Q$14*$Y$16),$R$14*$Y$17),$S$14*$Y$18),$T$14*$Y$19),$U$14*$Y$20),1,0)</f>
        <v>0</v>
      </c>
      <c r="AF14" s="6">
        <f>IF(_xlfn.XOR(_xlfn.XOR(_xlfn.XOR(_xlfn.XOR(_xlfn.XOR(_xlfn.XOR($O$15*$Y$14,$P$15*$Y$15),$Q$15*$Y$16),$R$15*$Y$17),$S$15*$Y$18),$T$15*$Y$19),$U$15*$Y$20),1,0)</f>
        <v>0</v>
      </c>
      <c r="AG14" s="6">
        <f>IF(_xlfn.XOR(_xlfn.XOR(_xlfn.XOR(_xlfn.XOR(_xlfn.XOR(_xlfn.XOR($O$16*$Y$14,$P$16*$Y$15),$Q$16*$Y$16),$R$16*$Y$17),$S$16*$Y$18),$T$16*$Y$19),$U$16*$Y$20),1,0)</f>
        <v>0</v>
      </c>
      <c r="AH14" s="2">
        <f>SUM(AE14:AG14)</f>
        <v>0</v>
      </c>
      <c r="AL14" s="7">
        <v>0</v>
      </c>
      <c r="AM14" s="7">
        <v>0</v>
      </c>
      <c r="AN14" s="7">
        <v>0</v>
      </c>
      <c r="AO14" s="7">
        <v>0</v>
      </c>
      <c r="AP14" s="4" t="str">
        <f>DEC2HEX(1*AL14+2*AM14+4*AN14+8*AO14,1)</f>
        <v>0</v>
      </c>
      <c r="AR14" s="8">
        <f>IF(_xlfn.XOR(_xlfn.XOR(_xlfn.XOR($AL$14*$O$25,$AM$14*$O$26),$AN$14*$O$27),$AO$14*$O$28),1,0)</f>
        <v>0</v>
      </c>
      <c r="AS14" s="9">
        <f>IF(_xlfn.XOR(_xlfn.XOR(_xlfn.XOR($AL$15*$O$25,$AM$15*$O$26),$AN$15*$O$27),$AO$15*$O$28),1,0)</f>
        <v>1</v>
      </c>
      <c r="AT14" s="9">
        <f>IF(_xlfn.XOR(_xlfn.XOR(_xlfn.XOR($AL$16*$O$25,$AM$16*$O$26),$AN$16*$O$27),$AO$16*$O$28),1,0)</f>
        <v>0</v>
      </c>
      <c r="AU14" s="9">
        <f>IF(_xlfn.XOR(_xlfn.XOR(_xlfn.XOR($AL$17*$O$25,$AM$17*$O$26),$AN$17*$O$27),$AO$17*$O$28),1,0)</f>
        <v>1</v>
      </c>
      <c r="AV14" s="9">
        <f>IF(_xlfn.XOR(_xlfn.XOR(_xlfn.XOR($AL$18*$O$25,$AM$18*$O$26),$AN$18*$O$27),$AO$18*$O$28),1,0)</f>
        <v>0</v>
      </c>
      <c r="AW14" s="9">
        <f>IF(_xlfn.XOR(_xlfn.XOR(_xlfn.XOR($AL$19*$O$25,$AM$19*$O$26),$AN$19*$O$27),$AO$19*$O$28),1,0)</f>
        <v>1</v>
      </c>
      <c r="AX14" s="9">
        <f>IF(_xlfn.XOR(_xlfn.XOR(_xlfn.XOR($AL$20*$O$25,$AM$20*$O$26),$AN$20*$O$27),$AO$20*$O$28),1,0)</f>
        <v>0</v>
      </c>
      <c r="AY14" s="9">
        <f>IF(_xlfn.XOR(_xlfn.XOR(_xlfn.XOR($AL$21*$O$25,$AM$21*$O$26),$AN$21*$O$27),$AO$21*$O$28),1,0)</f>
        <v>1</v>
      </c>
      <c r="AZ14" s="9">
        <f>IF(_xlfn.XOR(_xlfn.XOR(_xlfn.XOR($AL$22*$O$25,$AM$22*$O$26),$AN$22*$O$27),$AO$22*$O$28),1,0)</f>
        <v>0</v>
      </c>
      <c r="BA14" s="9">
        <f>IF(_xlfn.XOR(_xlfn.XOR(_xlfn.XOR($AL$23*$O$25,$AM$23*$O$26),$AN$23*$O$27),$AO$23*$O$28),1,0)</f>
        <v>1</v>
      </c>
      <c r="BB14" s="9">
        <f>IF(_xlfn.XOR(_xlfn.XOR(_xlfn.XOR($AL$24*$O$25,$AM$24*$O$26),$AN$24*$O$27),$AO$24*$O$28),1,0)</f>
        <v>0</v>
      </c>
      <c r="BC14" s="9">
        <f>IF(_xlfn.XOR(_xlfn.XOR(_xlfn.XOR($AL$25*$O$25,$AM$25*$O$26),$AN$25*$O$27),$AO$25*$O$28),1,0)</f>
        <v>1</v>
      </c>
      <c r="BD14" s="9">
        <f>IF(_xlfn.XOR(_xlfn.XOR(_xlfn.XOR($AL$26*$O$25,$AM$26*$O$26),$AN$26*$O$27),$AO$26*$O$28),1,0)</f>
        <v>0</v>
      </c>
      <c r="BE14" s="9">
        <f>IF(_xlfn.XOR(_xlfn.XOR(_xlfn.XOR($AL$27*$O$25,$AM$27*$O$26),$AN$27*$O$27),$AO$27*$O$28),1,0)</f>
        <v>1</v>
      </c>
      <c r="BF14" s="9">
        <f>IF(_xlfn.XOR(_xlfn.XOR(_xlfn.XOR($AL$28*$O$25,$AM$28*$O$26),$AN$28*$O$27),$AO$28*$O$28),1,0)</f>
        <v>0</v>
      </c>
      <c r="BG14" s="10">
        <f>IF(_xlfn.XOR(_xlfn.XOR(_xlfn.XOR($AL$29*$O$25,$AM$29*$O$26),$AN$29*$O$27),$AO$29*$O$28),1,0)</f>
        <v>1</v>
      </c>
      <c r="BL14" s="7">
        <f>$AR$14</f>
        <v>0</v>
      </c>
      <c r="BM14" s="7">
        <f>$AR$15</f>
        <v>0</v>
      </c>
      <c r="BN14" s="7">
        <f>$AR$16</f>
        <v>0</v>
      </c>
      <c r="BO14" s="7">
        <f>$AR$17</f>
        <v>0</v>
      </c>
      <c r="BP14" s="11">
        <f>$AR$18</f>
        <v>0</v>
      </c>
      <c r="BQ14" s="11">
        <f>$AR$19</f>
        <v>0</v>
      </c>
      <c r="BR14" s="11">
        <f>$AR$20</f>
        <v>0</v>
      </c>
      <c r="BS14" s="12">
        <f>$AR$21</f>
        <v>0</v>
      </c>
      <c r="BT14" s="2" t="s">
        <v>18</v>
      </c>
      <c r="BU14" s="7">
        <f>IF(_xlfn.XOR($BL$14,_xlfn.XOR($BU$10,$BU$11)),1,0)</f>
        <v>0</v>
      </c>
      <c r="BV14" s="7">
        <f>IF(_xlfn.XOR($BM$14,_xlfn.XOR($BV$10,$BV$11)),1,0)</f>
        <v>0</v>
      </c>
      <c r="BW14" s="7">
        <f>IF(_xlfn.XOR($BN$14,_xlfn.XOR($BW$10,$BW$11)),1,0)</f>
        <v>0</v>
      </c>
      <c r="BX14" s="7">
        <f>IF(_xlfn.XOR($BO$14,_xlfn.XOR($BX$10,$BX$11)),1,0)</f>
        <v>0</v>
      </c>
      <c r="BY14" s="11">
        <f>IF(_xlfn.XOR($BP$14,_xlfn.XOR($BY$10,$BY$11)),1,0)</f>
        <v>0</v>
      </c>
      <c r="BZ14" s="11">
        <f>IF(_xlfn.XOR($BQ$14,_xlfn.XOR($BZ$10,$BZ$11)),1,0)</f>
        <v>0</v>
      </c>
      <c r="CA14" s="11">
        <f>IF(_xlfn.XOR($BR$14,_xlfn.XOR($CA$10,$CA$11)),1,0)</f>
        <v>0</v>
      </c>
      <c r="CB14" s="12">
        <f>IF(_xlfn.XOR($BS$14,_xlfn.XOR($CB$10,$CB$11)),1,0)</f>
        <v>0</v>
      </c>
      <c r="CC14" s="46" t="str">
        <f>DEC2HEX(1*BU14 + 2*BV14 + 4*BW14 + 8*BX14 + 16*BY14 + 32*BZ14 + 64*CA14 + 128*CB14, 2)</f>
        <v>00</v>
      </c>
      <c r="CD14" s="47"/>
      <c r="CE14" s="12">
        <f>IF(_xlfn.XOR(_xlfn.XOR(_xlfn.XOR(_xlfn.XOR(_xlfn.XOR(_xlfn.XOR($BU$14,$BV$14),$BW$14),$BX$14),$BY$14),$BZ$14),$CA$14),1,0)</f>
        <v>0</v>
      </c>
      <c r="CF14" s="2" t="str">
        <f>IF(CB14=CE14,"OK","NG!")</f>
        <v>OK</v>
      </c>
      <c r="CJ14" s="14">
        <f>IF(_xlfn.XOR(_xlfn.XOR(_xlfn.XOR(_xlfn.XOR(_xlfn.XOR(_xlfn.XOR($BU$14*$Y$25,$BV$14*$Y$26),$BW$14*$Y$27),$BX$14*$Y$28),$BY$14*$Y$29),$BZ$14*$Y$30),$CA$14*$Y$31),1,0)</f>
        <v>0</v>
      </c>
      <c r="CK14" s="15">
        <f>IF(_xlfn.XOR(_xlfn.XOR(_xlfn.XOR(_xlfn.XOR(_xlfn.XOR(_xlfn.XOR($BU$15*$Y$25,$BV$15*$Y$26),$BW$15*$Y$27),$BX$15*$Y$28),$BY$15*$Y$29),$BZ$15*$Y$30),$CA$15*$Y$31),1,0)</f>
        <v>0</v>
      </c>
      <c r="CL14" s="15">
        <f>IF(_xlfn.XOR(_xlfn.XOR(_xlfn.XOR(_xlfn.XOR(_xlfn.XOR(_xlfn.XOR($BU$16*$Y$25,$BV$16*$Y$26),$BW$16*$Y$27),$BX$16*$Y$28),$BY$16*$Y$29),$BZ$16*$Y$30),$CA$16*$Y$31),1,0)</f>
        <v>0</v>
      </c>
      <c r="CM14" s="15">
        <f>IF(_xlfn.XOR(_xlfn.XOR(_xlfn.XOR(_xlfn.XOR(_xlfn.XOR(_xlfn.XOR($BU$17*$Y$25,$BV$17*$Y$26),$BW$17*$Y$27),$BX$17*$Y$28),$BY$17*$Y$29),$BZ$17*$Y$30),$CA$17*$Y$31),1,0)</f>
        <v>0</v>
      </c>
      <c r="CN14" s="15">
        <f>IF(_xlfn.XOR(_xlfn.XOR(_xlfn.XOR(_xlfn.XOR(_xlfn.XOR(_xlfn.XOR($BU$18*$Y$25,$BV$18*$Y$26),$BW$18*$Y$27),$BX$18*$Y$28),$BY$18*$Y$29),$BZ$18*$Y$30),$CA$18*$Y$31),1,0)</f>
        <v>0</v>
      </c>
      <c r="CO14" s="15">
        <f>IF(_xlfn.XOR(_xlfn.XOR(_xlfn.XOR(_xlfn.XOR(_xlfn.XOR(_xlfn.XOR($BU$19*$Y$25,$BV$19*$Y$26),$BW$19*$Y$27),$BX$19*$Y$28),$BY$19*$Y$29),$BZ$19*$Y$30),$CA$19*$Y$31),1,0)</f>
        <v>0</v>
      </c>
      <c r="CP14" s="15">
        <f>IF(_xlfn.XOR(_xlfn.XOR(_xlfn.XOR(_xlfn.XOR(_xlfn.XOR(_xlfn.XOR($BU$20*$Y$25,$BV$20*$Y$26),$BW$20*$Y$27),$BX$20*$Y$28),$BY$20*$Y$29),$BZ$20*$Y$30),$CA$20*$Y$31),1,0)</f>
        <v>0</v>
      </c>
      <c r="CQ14" s="15">
        <f>IF(_xlfn.XOR(_xlfn.XOR(_xlfn.XOR(_xlfn.XOR(_xlfn.XOR(_xlfn.XOR($BU$21*$Y$25,$BV$21*$Y$26),$BW$21*$Y$27),$BX$21*$Y$28),$BY$21*$Y$29),$BZ$21*$Y$30),$CA$21*$Y$31),1,0)</f>
        <v>0</v>
      </c>
      <c r="CR14" s="15">
        <f>IF(_xlfn.XOR(_xlfn.XOR(_xlfn.XOR(_xlfn.XOR(_xlfn.XOR(_xlfn.XOR($BU$22*$Y$25,$BV$22*$Y$26),$BW$22*$Y$27),$BX$22*$Y$28),$BY$22*$Y$29),$BZ$22*$Y$30),$CA$22*$Y$31),1,0)</f>
        <v>0</v>
      </c>
      <c r="CS14" s="15">
        <f>IF(_xlfn.XOR(_xlfn.XOR(_xlfn.XOR(_xlfn.XOR(_xlfn.XOR(_xlfn.XOR($BU$23*$Y$25,$BV$23*$Y$26),$BW$23*$Y$27),$BX$23*$Y$28),$BY$23*$Y$29),$BZ$23*$Y$30),$CA$23*$Y$31),1,0)</f>
        <v>0</v>
      </c>
      <c r="CT14" s="15">
        <f>IF(_xlfn.XOR(_xlfn.XOR(_xlfn.XOR(_xlfn.XOR(_xlfn.XOR(_xlfn.XOR($BU$24*$Y$25,$BV$24*$Y$26),$BW$24*$Y$27),$BX$24*$Y$28),$BY$24*$Y$29),$BZ$24*$Y$30),$CA$24*$Y$31),1,0)</f>
        <v>0</v>
      </c>
      <c r="CU14" s="15">
        <f>IF(_xlfn.XOR(_xlfn.XOR(_xlfn.XOR(_xlfn.XOR(_xlfn.XOR(_xlfn.XOR($BU$25*$Y$25,$BV$25*$Y$26),$BW$25*$Y$27),$BX$25*$Y$28),$BY$25*$Y$29),$BZ$25*$Y$30),$CA$25*$Y$31),1,0)</f>
        <v>0</v>
      </c>
      <c r="CV14" s="15">
        <f>IF(_xlfn.XOR(_xlfn.XOR(_xlfn.XOR(_xlfn.XOR(_xlfn.XOR(_xlfn.XOR($BU$26*$Y$25,$BV$26*$Y$26),$BW$26*$Y$27),$BX$26*$Y$28),$BY$26*$Y$29),$BZ$26*$Y$30),$CA$26*$Y$31),1,0)</f>
        <v>0</v>
      </c>
      <c r="CW14" s="15">
        <f>IF(_xlfn.XOR(_xlfn.XOR(_xlfn.XOR(_xlfn.XOR(_xlfn.XOR(_xlfn.XOR($BU$27*$Y$25,$BV$27*$Y$26),$BW$27*$Y$27),$BX$27*$Y$28),$BY$27*$Y$29),$BZ$27*$Y$30),$CA$27*$Y$31),1,0)</f>
        <v>0</v>
      </c>
      <c r="CX14" s="15">
        <f>IF(_xlfn.XOR(_xlfn.XOR(_xlfn.XOR(_xlfn.XOR(_xlfn.XOR(_xlfn.XOR($BU$28*$Y$25,$BV$28*$Y$26),$BW$28*$Y$27),$BX$28*$Y$28),$BY$28*$Y$29),$BZ$28*$Y$30),$CA$28*$Y$31),1,0)</f>
        <v>0</v>
      </c>
      <c r="CY14" s="16">
        <f>IF(_xlfn.XOR(_xlfn.XOR(_xlfn.XOR(_xlfn.XOR(_xlfn.XOR(_xlfn.XOR($BU$29*$Y$25,$BV$29*$Y$26),$BW$29*$Y$27),$BX$29*$Y$28),$BY$29*$Y$29),$BZ$29*$Y$30),$CA$29*$Y$31),1,0)</f>
        <v>0</v>
      </c>
      <c r="DI14" s="50"/>
      <c r="DJ14" s="8">
        <f>mulMat(HEX2DEC($AP$14),HEX2DEC($R$29))</f>
        <v>0</v>
      </c>
      <c r="DK14" s="9">
        <f>mulMat(HEX2DEC($AP$15),HEX2DEC($R$29))</f>
        <v>0</v>
      </c>
      <c r="DL14" s="9">
        <f>mulMat(HEX2DEC($AP$16),HEX2DEC($R$29))</f>
        <v>0</v>
      </c>
      <c r="DM14" s="9">
        <f>mulMat(HEX2DEC($AP$17),HEX2DEC($R$29))</f>
        <v>0</v>
      </c>
      <c r="DN14" s="9">
        <f>mulMat(HEX2DEC($AP$18),HEX2DEC($R$29))</f>
        <v>0</v>
      </c>
      <c r="DO14" s="9">
        <f>mulMat(HEX2DEC($AP$19),HEX2DEC($R$29))</f>
        <v>0</v>
      </c>
      <c r="DP14" s="9">
        <f>mulMat(HEX2DEC($AP$20),HEX2DEC($R$29))</f>
        <v>0</v>
      </c>
      <c r="DQ14" s="9">
        <f>mulMat(HEX2DEC($AP$21),HEX2DEC($R$29))</f>
        <v>0</v>
      </c>
      <c r="DR14" s="9">
        <f>mulMat(HEX2DEC($AP$22),HEX2DEC($R$29))</f>
        <v>1</v>
      </c>
      <c r="DS14" s="9">
        <f>mulMat(HEX2DEC($AP$23),HEX2DEC($R$29))</f>
        <v>1</v>
      </c>
      <c r="DT14" s="9">
        <f>mulMat(HEX2DEC($AP$24),HEX2DEC($R$29))</f>
        <v>1</v>
      </c>
      <c r="DU14" s="9">
        <f>mulMat(HEX2DEC($AP$25),HEX2DEC($R$29))</f>
        <v>1</v>
      </c>
      <c r="DV14" s="9">
        <f>mulMat(HEX2DEC($AP$26),HEX2DEC($R$29))</f>
        <v>1</v>
      </c>
      <c r="DW14" s="9">
        <f>mulMat(HEX2DEC($AP$27),HEX2DEC($R$29))</f>
        <v>1</v>
      </c>
      <c r="DX14" s="9">
        <f>mulMat(HEX2DEC($AP$28),HEX2DEC($R$29))</f>
        <v>1</v>
      </c>
      <c r="DY14" s="10">
        <f>mulMat(HEX2DEC($AP$29),HEX2DEC($R$29))</f>
        <v>1</v>
      </c>
      <c r="DZ14" s="50"/>
      <c r="EA14" s="50"/>
      <c r="EB14" s="8">
        <f>$BX$14</f>
        <v>0</v>
      </c>
      <c r="EC14" s="9">
        <f>$BX$15</f>
        <v>0</v>
      </c>
      <c r="ED14" s="9">
        <f>$BX$16</f>
        <v>0</v>
      </c>
      <c r="EE14" s="9">
        <f>$BX$17</f>
        <v>0</v>
      </c>
      <c r="EF14" s="9">
        <f>$BX$18</f>
        <v>0</v>
      </c>
      <c r="EG14" s="9">
        <f>$BX$19</f>
        <v>0</v>
      </c>
      <c r="EH14" s="9">
        <f>$BX$20</f>
        <v>0</v>
      </c>
      <c r="EI14" s="9">
        <f>$BX$21</f>
        <v>0</v>
      </c>
      <c r="EJ14" s="9">
        <f>$BX$22</f>
        <v>1</v>
      </c>
      <c r="EK14" s="9">
        <f>$BX$23</f>
        <v>1</v>
      </c>
      <c r="EL14" s="9">
        <f>$BX$24</f>
        <v>1</v>
      </c>
      <c r="EM14" s="9">
        <f>$BX$25</f>
        <v>1</v>
      </c>
      <c r="EN14" s="9">
        <f>$BX$26</f>
        <v>1</v>
      </c>
      <c r="EO14" s="9">
        <f>$BX$27</f>
        <v>1</v>
      </c>
      <c r="EP14" s="9">
        <f>$BX$28</f>
        <v>1</v>
      </c>
      <c r="EQ14" s="10">
        <f>$BX$29</f>
        <v>1</v>
      </c>
      <c r="ER14" s="50"/>
    </row>
    <row r="15" spans="1:148" ht="12.75" thickTop="1" thickBot="1" x14ac:dyDescent="0.2">
      <c r="B15" s="44">
        <v>1</v>
      </c>
      <c r="C15" s="44">
        <v>1</v>
      </c>
      <c r="D15" s="44">
        <v>0</v>
      </c>
      <c r="E15" s="44">
        <v>1</v>
      </c>
      <c r="F15" s="28"/>
      <c r="G15" s="28"/>
      <c r="H15" s="28"/>
      <c r="I15" s="5">
        <v>0</v>
      </c>
      <c r="J15" s="5">
        <v>1</v>
      </c>
      <c r="K15" s="5">
        <v>0</v>
      </c>
      <c r="O15" s="36">
        <f t="shared" si="0"/>
        <v>1</v>
      </c>
      <c r="P15" s="36">
        <f t="shared" si="0"/>
        <v>1</v>
      </c>
      <c r="Q15" s="36">
        <f t="shared" si="0"/>
        <v>0</v>
      </c>
      <c r="R15" s="36">
        <f t="shared" si="0"/>
        <v>1</v>
      </c>
      <c r="S15" s="5">
        <f t="shared" ref="S15:S16" si="3">I15</f>
        <v>0</v>
      </c>
      <c r="T15" s="5">
        <f t="shared" si="1"/>
        <v>1</v>
      </c>
      <c r="U15" s="5">
        <f t="shared" si="2"/>
        <v>0</v>
      </c>
      <c r="V15" s="37">
        <v>0</v>
      </c>
      <c r="Y15" s="5">
        <f>P25</f>
        <v>0</v>
      </c>
      <c r="Z15" s="5">
        <f>P26</f>
        <v>1</v>
      </c>
      <c r="AA15" s="5">
        <f>P27</f>
        <v>0</v>
      </c>
      <c r="AB15" s="5">
        <f>P28</f>
        <v>0</v>
      </c>
      <c r="AE15" s="6">
        <f>IF(_xlfn.XOR(_xlfn.XOR(_xlfn.XOR(_xlfn.XOR(_xlfn.XOR(_xlfn.XOR($O$14*$Z$14,$P$14*$Z$15),$Q$14*$Z$16),$R$14*$Z$17),$S$14*$Z$18),$T$14*$Z$19),$U$14*$Z$20),1,0)</f>
        <v>0</v>
      </c>
      <c r="AF15" s="6">
        <f>IF(_xlfn.XOR(_xlfn.XOR(_xlfn.XOR(_xlfn.XOR(_xlfn.XOR(_xlfn.XOR($O$15*$Z$14,$P$15*$Z$15),$Q$15*$Z$16),$R$15*$Z$17),$S$15*$Z$18),$T$15*$Z$19),$U$15*$Z$20),1,0)</f>
        <v>0</v>
      </c>
      <c r="AG15" s="6">
        <f>IF(_xlfn.XOR(_xlfn.XOR(_xlfn.XOR(_xlfn.XOR(_xlfn.XOR(_xlfn.XOR($O$16*$Z$14,$P$16*$Z$15),$Q$16*$Z$16),$R$16*$Z$17),$S$16*$Z$18),$T$16*$Z$19),$U$16*$Z$20),1,0)</f>
        <v>0</v>
      </c>
      <c r="AH15" s="2">
        <f t="shared" ref="AH15:AH17" si="4">SUM(AE15:AG15)</f>
        <v>0</v>
      </c>
      <c r="AL15" s="17">
        <v>1</v>
      </c>
      <c r="AM15" s="17">
        <v>0</v>
      </c>
      <c r="AN15" s="17">
        <v>0</v>
      </c>
      <c r="AO15" s="17">
        <v>0</v>
      </c>
      <c r="AP15" s="4" t="str">
        <f t="shared" ref="AP15:AP29" si="5">DEC2HEX(1*AL15+2*AM15+4*AN15+8*AO15,1)</f>
        <v>1</v>
      </c>
      <c r="AR15" s="8">
        <f>IF(_xlfn.XOR(_xlfn.XOR(_xlfn.XOR($AL$14*$P$25,$AM$14*$P$26),$AN$14*$P$27),$AO$14*$P$28),1,0)</f>
        <v>0</v>
      </c>
      <c r="AS15" s="9">
        <f>IF(_xlfn.XOR(_xlfn.XOR(_xlfn.XOR($AL$15*$P$25,$AM$15*$P$26),$AN$15*$P$27),$AO$15*$P$28),1,0)</f>
        <v>0</v>
      </c>
      <c r="AT15" s="9">
        <f>IF(_xlfn.XOR(_xlfn.XOR(_xlfn.XOR($AL$16*$P$25,$AM$16*$P$26),$AN$16*$P$27),$AO$16*$P$28),1,0)</f>
        <v>1</v>
      </c>
      <c r="AU15" s="9">
        <f>IF(_xlfn.XOR(_xlfn.XOR(_xlfn.XOR($AL$17*$P$25,$AM$17*$P$26),$AN$17*$P$27),$AO$17*$P$28),1,0)</f>
        <v>1</v>
      </c>
      <c r="AV15" s="9">
        <f>IF(_xlfn.XOR(_xlfn.XOR(_xlfn.XOR($AL$18*$P$25,$AM$18*$P$26),$AN$18*$P$27),$AO$18*$P$28),1,0)</f>
        <v>0</v>
      </c>
      <c r="AW15" s="9">
        <f>IF(_xlfn.XOR(_xlfn.XOR(_xlfn.XOR($AL$19*$P$25,$AM$19*$P$26),$AN$19*$P$27),$AO$19*$P$28),1,0)</f>
        <v>0</v>
      </c>
      <c r="AX15" s="9">
        <f>IF(_xlfn.XOR(_xlfn.XOR(_xlfn.XOR($AL$20*$P$25,$AM$20*$P$26),$AN$20*$P$27),$AO$20*$P$28),1,0)</f>
        <v>1</v>
      </c>
      <c r="AY15" s="9">
        <f>IF(_xlfn.XOR(_xlfn.XOR(_xlfn.XOR($AL$21*$P$25,$AM$21*$P$26),$AN$21*$P$27),$AO$21*$P$28),1,0)</f>
        <v>1</v>
      </c>
      <c r="AZ15" s="9">
        <f>IF(_xlfn.XOR(_xlfn.XOR(_xlfn.XOR($AL$22*$P$25,$AM$22*$P$26),$AN$22*$P$27),$AO$22*$P$28),1,0)</f>
        <v>0</v>
      </c>
      <c r="BA15" s="9">
        <f>IF(_xlfn.XOR(_xlfn.XOR(_xlfn.XOR($AL$23*$P$25,$AM$23*$P$26),$AN$23*$P$27),$AO$23*$P$28),1,0)</f>
        <v>0</v>
      </c>
      <c r="BB15" s="9">
        <f>IF(_xlfn.XOR(_xlfn.XOR(_xlfn.XOR($AL$24*$P$25,$AM$24*$P$26),$AN$24*$P$27),$AO$24*$P$28),1,0)</f>
        <v>1</v>
      </c>
      <c r="BC15" s="9">
        <f>IF(_xlfn.XOR(_xlfn.XOR(_xlfn.XOR($AL$25*$P$25,$AM$25*$P$26),$AN$25*$P$27),$AO$25*$P$28),1,0)</f>
        <v>1</v>
      </c>
      <c r="BD15" s="9">
        <f>IF(_xlfn.XOR(_xlfn.XOR(_xlfn.XOR($AL$26*$P$25,$AM$26*$P$26),$AN$26*$P$27),$AO$26*$P$28),1,0)</f>
        <v>0</v>
      </c>
      <c r="BE15" s="9">
        <f>IF(_xlfn.XOR(_xlfn.XOR(_xlfn.XOR($AL$27*$P$25,$AM$27*$P$26),$AN$27*$P$27),$AO$27*$P$28),1,0)</f>
        <v>0</v>
      </c>
      <c r="BF15" s="9">
        <f>IF(_xlfn.XOR(_xlfn.XOR(_xlfn.XOR($AL$28*$P$25,$AM$28*$P$26),$AN$28*$P$27),$AO$28*$P$28),1,0)</f>
        <v>1</v>
      </c>
      <c r="BG15" s="10">
        <f>IF(_xlfn.XOR(_xlfn.XOR(_xlfn.XOR($AL$29*$P$25,$AM$29*$P$26),$AN$29*$P$27),$AO$29*$P$28),1,0)</f>
        <v>1</v>
      </c>
      <c r="BL15" s="17">
        <f>$AS$14</f>
        <v>1</v>
      </c>
      <c r="BM15" s="17">
        <f>$AS$15</f>
        <v>0</v>
      </c>
      <c r="BN15" s="17">
        <f>$AS$16</f>
        <v>0</v>
      </c>
      <c r="BO15" s="17">
        <f>$AS$17</f>
        <v>0</v>
      </c>
      <c r="BP15" s="18">
        <f>$AS$18</f>
        <v>1</v>
      </c>
      <c r="BQ15" s="18">
        <f>$AS$19</f>
        <v>1</v>
      </c>
      <c r="BR15" s="18">
        <f>$AS$20</f>
        <v>0</v>
      </c>
      <c r="BS15" s="19">
        <f>$AS$21</f>
        <v>1</v>
      </c>
      <c r="BT15" s="2" t="s">
        <v>18</v>
      </c>
      <c r="BU15" s="17">
        <f>IF(_xlfn.XOR($BL$15,_xlfn.XOR($BU$10,$BU$11)),1,0)</f>
        <v>1</v>
      </c>
      <c r="BV15" s="17">
        <f>IF(_xlfn.XOR($BM$15,_xlfn.XOR($BV$10,$BV$11)),1,0)</f>
        <v>0</v>
      </c>
      <c r="BW15" s="17">
        <f>IF(_xlfn.XOR($BN$15,_xlfn.XOR($BW$10,$BW$11)),1,0)</f>
        <v>0</v>
      </c>
      <c r="BX15" s="17">
        <f>IF(_xlfn.XOR($BO$15,_xlfn.XOR($BX$10,$BX$11)),1,0)</f>
        <v>0</v>
      </c>
      <c r="BY15" s="18">
        <f>IF(_xlfn.XOR($BP$15,_xlfn.XOR($BY$10,$BY$11)),1,0)</f>
        <v>1</v>
      </c>
      <c r="BZ15" s="18">
        <f>IF(_xlfn.XOR($BQ$15,_xlfn.XOR($BZ$10,$BZ$11)),1,0)</f>
        <v>1</v>
      </c>
      <c r="CA15" s="18">
        <f>IF(_xlfn.XOR($BR$15,_xlfn.XOR($CA$10,$CA$11)),1,0)</f>
        <v>0</v>
      </c>
      <c r="CB15" s="19">
        <f>IF(_xlfn.XOR($BS$15,_xlfn.XOR($CB$10,$CB$11)),1,0)</f>
        <v>1</v>
      </c>
      <c r="CC15" s="46" t="str">
        <f t="shared" ref="CC15:CC29" si="6">DEC2HEX(1*BU15 + 2*BV15 + 4*BW15 + 8*BX15 + 16*BY15 + 32*BZ15 + 64*CA15 + 128*CB15, 2)</f>
        <v>B1</v>
      </c>
      <c r="CD15" s="47"/>
      <c r="CE15" s="19">
        <f>IF(_xlfn.XOR(_xlfn.XOR(_xlfn.XOR(_xlfn.XOR(_xlfn.XOR(_xlfn.XOR($BU$15,$BV$15),$BW$15),$BX$15),$BY$15),$BZ$15),$CA$15),1,0)</f>
        <v>1</v>
      </c>
      <c r="CF15" s="2" t="str">
        <f t="shared" ref="CF15:CF29" si="7">IF(CB15=CE15,"OK","NG!")</f>
        <v>OK</v>
      </c>
      <c r="CJ15" s="14">
        <f>IF(_xlfn.XOR(_xlfn.XOR(_xlfn.XOR(_xlfn.XOR(_xlfn.XOR(_xlfn.XOR($BU$14*$Z$25,$BV$14*$Z$26),$BW$14*$Z$27),$BX$14*$Z$28),$BY$14*$Z$29),$BZ$14*$Z$30),$CA$14*$Z$31),1,0)</f>
        <v>0</v>
      </c>
      <c r="CK15" s="15">
        <f>IF(_xlfn.XOR(_xlfn.XOR(_xlfn.XOR(_xlfn.XOR(_xlfn.XOR(_xlfn.XOR($BU$15*$Z$25,$BV$15*$Z$26),$BW$15*$Z$27),$BX$15*$Z$28),$BY$15*$Z$29),$BZ$15*$Z$30),$CA$15*$Z$31),1,0)</f>
        <v>0</v>
      </c>
      <c r="CL15" s="15">
        <f>IF(_xlfn.XOR(_xlfn.XOR(_xlfn.XOR(_xlfn.XOR(_xlfn.XOR(_xlfn.XOR($BU$16*$Z$25,$BV$16*$Z$26),$BW$16*$Z$27),$BX$16*$Z$28),$BY$16*$Z$29),$BZ$16*$Z$30),$CA$16*$Z$31),1,0)</f>
        <v>0</v>
      </c>
      <c r="CM15" s="15">
        <f>IF(_xlfn.XOR(_xlfn.XOR(_xlfn.XOR(_xlfn.XOR(_xlfn.XOR(_xlfn.XOR($BU$17*$Z$25,$BV$17*$Z$26),$BW$17*$Z$27),$BX$17*$Z$28),$BY$17*$Z$29),$BZ$17*$Z$30),$CA$17*$Z$31),1,0)</f>
        <v>0</v>
      </c>
      <c r="CN15" s="15">
        <f>IF(_xlfn.XOR(_xlfn.XOR(_xlfn.XOR(_xlfn.XOR(_xlfn.XOR(_xlfn.XOR($BU$18*$Z$25,$BV$18*$Z$26),$BW$18*$Z$27),$BX$18*$Z$28),$BY$18*$Z$29),$BZ$18*$Z$30),$CA$18*$Z$31),1,0)</f>
        <v>0</v>
      </c>
      <c r="CO15" s="15">
        <f>IF(_xlfn.XOR(_xlfn.XOR(_xlfn.XOR(_xlfn.XOR(_xlfn.XOR(_xlfn.XOR($BU$19*$Z$25,$BV$19*$Z$26),$BW$19*$Z$27),$BX$19*$Z$28),$BY$19*$Z$29),$BZ$19*$Z$30),$CA$19*$Z$31),1,0)</f>
        <v>0</v>
      </c>
      <c r="CP15" s="15">
        <f>IF(_xlfn.XOR(_xlfn.XOR(_xlfn.XOR(_xlfn.XOR(_xlfn.XOR(_xlfn.XOR($BU$20*$Z$25,$BV$20*$Z$26),$BW$20*$Z$27),$BX$20*$Z$28),$BY$20*$Z$29),$BZ$20*$Z$30),$CA$20*$Z$31),1,0)</f>
        <v>0</v>
      </c>
      <c r="CQ15" s="15">
        <f>IF(_xlfn.XOR(_xlfn.XOR(_xlfn.XOR(_xlfn.XOR(_xlfn.XOR(_xlfn.XOR($BU$21*$Z$25,$BV$21*$Z$26),$BW$21*$Z$27),$BX$21*$Z$28),$BY$21*$Z$29),$BZ$21*$Z$30),$CA$21*$Z$31),1,0)</f>
        <v>0</v>
      </c>
      <c r="CR15" s="15">
        <f>IF(_xlfn.XOR(_xlfn.XOR(_xlfn.XOR(_xlfn.XOR(_xlfn.XOR(_xlfn.XOR($BU$22*$Z$25,$BV$22*$Z$26),$BW$22*$Z$27),$BX$22*$Z$28),$BY$22*$Z$29),$BZ$22*$Z$30),$CA$22*$Z$31),1,0)</f>
        <v>0</v>
      </c>
      <c r="CS15" s="15">
        <f>IF(_xlfn.XOR(_xlfn.XOR(_xlfn.XOR(_xlfn.XOR(_xlfn.XOR(_xlfn.XOR($BU$23*$Z$25,$BV$23*$Z$26),$BW$23*$Z$27),$BX$23*$Z$28),$BY$23*$Z$29),$BZ$23*$Z$30),$CA$23*$Z$31),1,0)</f>
        <v>0</v>
      </c>
      <c r="CT15" s="15">
        <f>IF(_xlfn.XOR(_xlfn.XOR(_xlfn.XOR(_xlfn.XOR(_xlfn.XOR(_xlfn.XOR($BU$24*$Z$25,$BV$24*$Z$26),$BW$24*$Z$27),$BX$24*$Z$28),$BY$24*$Z$29),$BZ$24*$Z$30),$CA$24*$Z$31),1,0)</f>
        <v>0</v>
      </c>
      <c r="CU15" s="15">
        <f>IF(_xlfn.XOR(_xlfn.XOR(_xlfn.XOR(_xlfn.XOR(_xlfn.XOR(_xlfn.XOR($BU$25*$Z$25,$BV$25*$Z$26),$BW$25*$Z$27),$BX$25*$Z$28),$BY$25*$Z$29),$BZ$25*$Z$30),$CA$25*$Z$31),1,0)</f>
        <v>0</v>
      </c>
      <c r="CV15" s="15">
        <f>IF(_xlfn.XOR(_xlfn.XOR(_xlfn.XOR(_xlfn.XOR(_xlfn.XOR(_xlfn.XOR($BU$26*$Z$25,$BV$26*$Z$26),$BW$26*$Z$27),$BX$26*$Z$28),$BY$26*$Z$29),$BZ$26*$Z$30),$CA$26*$Z$31),1,0)</f>
        <v>0</v>
      </c>
      <c r="CW15" s="15">
        <f>IF(_xlfn.XOR(_xlfn.XOR(_xlfn.XOR(_xlfn.XOR(_xlfn.XOR(_xlfn.XOR($BU$27*$Z$25,$BV$27*$Z$26),$BW$27*$Z$27),$BX$27*$Z$28),$BY$27*$Z$29),$BZ$27*$Z$30),$CA$27*$Z$31),1,0)</f>
        <v>0</v>
      </c>
      <c r="CX15" s="15">
        <f>IF(_xlfn.XOR(_xlfn.XOR(_xlfn.XOR(_xlfn.XOR(_xlfn.XOR(_xlfn.XOR($BU$28*$Z$25,$BV$28*$Z$26),$BW$28*$Z$27),$BX$28*$Z$28),$BY$28*$Z$29),$BZ$28*$Z$30),$CA$28*$Z$31),1,0)</f>
        <v>0</v>
      </c>
      <c r="CY15" s="16">
        <f>IF(_xlfn.XOR(_xlfn.XOR(_xlfn.XOR(_xlfn.XOR(_xlfn.XOR(_xlfn.XOR($BU$29*$Z$25,$BV$29*$Z$26),$BW$29*$Z$27),$BX$29*$Z$28),$BY$29*$Z$29),$BZ$29*$Z$30),$CA$29*$Z$31),1,0)</f>
        <v>0</v>
      </c>
      <c r="DI15" s="50"/>
      <c r="DJ15" s="21">
        <f>mulMat(HEX2DEC($AP$14),HEX2DEC($S$29))</f>
        <v>0</v>
      </c>
      <c r="DK15" s="22">
        <f>mulMat(HEX2DEC($AP$15),HEX2DEC($S$29))</f>
        <v>1</v>
      </c>
      <c r="DL15" s="22">
        <f>mulMat(HEX2DEC($AP$16),HEX2DEC($S$29))</f>
        <v>0</v>
      </c>
      <c r="DM15" s="22">
        <f>mulMat(HEX2DEC($AP$17),HEX2DEC($S$29))</f>
        <v>1</v>
      </c>
      <c r="DN15" s="22">
        <f>mulMat(HEX2DEC($AP$18),HEX2DEC($S$29))</f>
        <v>1</v>
      </c>
      <c r="DO15" s="22">
        <f>mulMat(HEX2DEC($AP$19),HEX2DEC($S$29))</f>
        <v>0</v>
      </c>
      <c r="DP15" s="22">
        <f>mulMat(HEX2DEC($AP$20),HEX2DEC($S$29))</f>
        <v>1</v>
      </c>
      <c r="DQ15" s="22">
        <f>mulMat(HEX2DEC($AP$21),HEX2DEC($S$29))</f>
        <v>0</v>
      </c>
      <c r="DR15" s="22">
        <f>mulMat(HEX2DEC($AP$22),HEX2DEC($S$29))</f>
        <v>1</v>
      </c>
      <c r="DS15" s="22">
        <f>mulMat(HEX2DEC($AP$23),HEX2DEC($S$29))</f>
        <v>0</v>
      </c>
      <c r="DT15" s="22">
        <f>mulMat(HEX2DEC($AP$24),HEX2DEC($S$29))</f>
        <v>1</v>
      </c>
      <c r="DU15" s="22">
        <f>mulMat(HEX2DEC($AP$25),HEX2DEC($S$29))</f>
        <v>0</v>
      </c>
      <c r="DV15" s="22">
        <f>mulMat(HEX2DEC($AP$26),HEX2DEC($S$29))</f>
        <v>0</v>
      </c>
      <c r="DW15" s="22">
        <f>mulMat(HEX2DEC($AP$27),HEX2DEC($S$29))</f>
        <v>1</v>
      </c>
      <c r="DX15" s="22">
        <f>mulMat(HEX2DEC($AP$28),HEX2DEC($S$29))</f>
        <v>0</v>
      </c>
      <c r="DY15" s="23">
        <f>mulMat(HEX2DEC($AP$29),HEX2DEC($S$29))</f>
        <v>1</v>
      </c>
      <c r="DZ15" s="50"/>
      <c r="EA15" s="50"/>
      <c r="EB15" s="21">
        <f>$BY$14</f>
        <v>0</v>
      </c>
      <c r="EC15" s="22">
        <f>$BY$15</f>
        <v>1</v>
      </c>
      <c r="ED15" s="22">
        <f>$BY$16</f>
        <v>0</v>
      </c>
      <c r="EE15" s="22">
        <f>$BY$17</f>
        <v>1</v>
      </c>
      <c r="EF15" s="22">
        <f>$BY$18</f>
        <v>1</v>
      </c>
      <c r="EG15" s="22">
        <f>$BY$19</f>
        <v>0</v>
      </c>
      <c r="EH15" s="22">
        <f>$BY$20</f>
        <v>1</v>
      </c>
      <c r="EI15" s="22">
        <f>$BY$21</f>
        <v>0</v>
      </c>
      <c r="EJ15" s="22">
        <f>$BY$22</f>
        <v>1</v>
      </c>
      <c r="EK15" s="22">
        <f>$BY$23</f>
        <v>0</v>
      </c>
      <c r="EL15" s="22">
        <f>$BY$24</f>
        <v>1</v>
      </c>
      <c r="EM15" s="22">
        <f>$BY$25</f>
        <v>0</v>
      </c>
      <c r="EN15" s="22">
        <f>$BY$26</f>
        <v>0</v>
      </c>
      <c r="EO15" s="22">
        <f>$BY$27</f>
        <v>1</v>
      </c>
      <c r="EP15" s="22">
        <f>$BY$28</f>
        <v>0</v>
      </c>
      <c r="EQ15" s="23">
        <f>$BY$29</f>
        <v>1</v>
      </c>
      <c r="ER15" s="50"/>
    </row>
    <row r="16" spans="1:148" ht="12.75" thickTop="1" thickBot="1" x14ac:dyDescent="0.2">
      <c r="B16" s="44">
        <v>0</v>
      </c>
      <c r="C16" s="44">
        <v>1</v>
      </c>
      <c r="D16" s="44">
        <v>1</v>
      </c>
      <c r="E16" s="44">
        <v>1</v>
      </c>
      <c r="F16" s="28"/>
      <c r="G16" s="28"/>
      <c r="H16" s="28"/>
      <c r="I16" s="5">
        <v>0</v>
      </c>
      <c r="J16" s="5">
        <v>0</v>
      </c>
      <c r="K16" s="5">
        <v>1</v>
      </c>
      <c r="O16" s="36">
        <f t="shared" si="0"/>
        <v>0</v>
      </c>
      <c r="P16" s="36">
        <f t="shared" si="0"/>
        <v>1</v>
      </c>
      <c r="Q16" s="36">
        <f t="shared" si="0"/>
        <v>1</v>
      </c>
      <c r="R16" s="36">
        <f t="shared" si="0"/>
        <v>1</v>
      </c>
      <c r="S16" s="5">
        <f t="shared" si="3"/>
        <v>0</v>
      </c>
      <c r="T16" s="5">
        <f t="shared" si="1"/>
        <v>0</v>
      </c>
      <c r="U16" s="5">
        <f t="shared" si="2"/>
        <v>1</v>
      </c>
      <c r="V16" s="37">
        <v>0</v>
      </c>
      <c r="Y16" s="5">
        <f>Q25</f>
        <v>0</v>
      </c>
      <c r="Z16" s="5">
        <f>Q26</f>
        <v>0</v>
      </c>
      <c r="AA16" s="5">
        <f>Q27</f>
        <v>1</v>
      </c>
      <c r="AB16" s="5">
        <f>Q28</f>
        <v>0</v>
      </c>
      <c r="AE16" s="6">
        <f>IF(_xlfn.XOR(_xlfn.XOR(_xlfn.XOR(_xlfn.XOR(_xlfn.XOR(_xlfn.XOR($O$14*$AA$14,$P$14*$AA$15),$Q$14*$AA$16),$R$14*$AA$17),$S$14*$AA$18),$T$14*$AA$19),$U$14*$AA$20),1,0)</f>
        <v>0</v>
      </c>
      <c r="AF16" s="6">
        <f>IF(_xlfn.XOR(_xlfn.XOR(_xlfn.XOR(_xlfn.XOR(_xlfn.XOR(_xlfn.XOR($O$15*$AA$14,$P$15*$AA$15),$Q$15*$AA$16),$R$15*$AA$17),$S$15*$AA$18),$T$15*$AA$19),$U$15*$AA$20),1,0)</f>
        <v>0</v>
      </c>
      <c r="AG16" s="6">
        <f>IF(_xlfn.XOR(_xlfn.XOR(_xlfn.XOR(_xlfn.XOR(_xlfn.XOR(_xlfn.XOR($O$16*$AA$14,$P$16*$AA$15),$Q$16*$AA$16),$R$16*$AA$17),$S$16*$AA$18),$T$16*$AA$19),$U$16*$AA$20),1,0)</f>
        <v>0</v>
      </c>
      <c r="AH16" s="2">
        <f t="shared" si="4"/>
        <v>0</v>
      </c>
      <c r="AL16" s="17">
        <v>0</v>
      </c>
      <c r="AM16" s="17">
        <v>1</v>
      </c>
      <c r="AN16" s="17">
        <v>0</v>
      </c>
      <c r="AO16" s="17">
        <v>0</v>
      </c>
      <c r="AP16" s="4" t="str">
        <f t="shared" si="5"/>
        <v>2</v>
      </c>
      <c r="AR16" s="8">
        <f>IF(_xlfn.XOR(_xlfn.XOR(_xlfn.XOR($AL$14*$Q$25,$AM$14*$Q$26),$AN$14*$Q$27),$AO$14*$Q$28),1,0)</f>
        <v>0</v>
      </c>
      <c r="AS16" s="9">
        <f>IF(_xlfn.XOR(_xlfn.XOR(_xlfn.XOR($AL$15*$Q$25,$AM$15*$Q$26),$AN$15*$Q$27),$AO$15*$Q$28),1,0)</f>
        <v>0</v>
      </c>
      <c r="AT16" s="9">
        <f>IF(_xlfn.XOR(_xlfn.XOR(_xlfn.XOR($AL$16*$Q$25,$AM$16*$Q$26),$AN$16*$Q$27),$AO$16*$Q$28),1,0)</f>
        <v>0</v>
      </c>
      <c r="AU16" s="9">
        <f>IF(_xlfn.XOR(_xlfn.XOR(_xlfn.XOR($AL$17*$Q$25,$AM$17*$Q$26),$AN$17*$Q$27),$AO$17*$Q$28),1,0)</f>
        <v>0</v>
      </c>
      <c r="AV16" s="9">
        <f>IF(_xlfn.XOR(_xlfn.XOR(_xlfn.XOR($AL$18*$Q$25,$AM$18*$Q$26),$AN$18*$Q$27),$AO$18*$Q$28),1,0)</f>
        <v>1</v>
      </c>
      <c r="AW16" s="9">
        <f>IF(_xlfn.XOR(_xlfn.XOR(_xlfn.XOR($AL$19*$Q$25,$AM$19*$Q$26),$AN$19*$Q$27),$AO$19*$Q$28),1,0)</f>
        <v>1</v>
      </c>
      <c r="AX16" s="9">
        <f>IF(_xlfn.XOR(_xlfn.XOR(_xlfn.XOR($AL$20*$Q$25,$AM$20*$Q$26),$AN$20*$Q$27),$AO$20*$Q$28),1,0)</f>
        <v>1</v>
      </c>
      <c r="AY16" s="9">
        <f>IF(_xlfn.XOR(_xlfn.XOR(_xlfn.XOR($AL$21*$Q$25,$AM$21*$Q$26),$AN$21*$Q$27),$AO$21*$Q$28),1,0)</f>
        <v>1</v>
      </c>
      <c r="AZ16" s="9">
        <f>IF(_xlfn.XOR(_xlfn.XOR(_xlfn.XOR($AL$22*$Q$25,$AM$22*$Q$26),$AN$22*$Q$27),$AO$22*$Q$28),1,0)</f>
        <v>0</v>
      </c>
      <c r="BA16" s="9">
        <f>IF(_xlfn.XOR(_xlfn.XOR(_xlfn.XOR($AL$23*$Q$25,$AM$23*$Q$26),$AN$23*$Q$27),$AO$23*$Q$28),1,0)</f>
        <v>0</v>
      </c>
      <c r="BB16" s="9">
        <f>IF(_xlfn.XOR(_xlfn.XOR(_xlfn.XOR($AL$24*$Q$25,$AM$24*$Q$26),$AN$24*$Q$27),$AO$24*$Q$28),1,0)</f>
        <v>0</v>
      </c>
      <c r="BC16" s="9">
        <f>IF(_xlfn.XOR(_xlfn.XOR(_xlfn.XOR($AL$25*$Q$25,$AM$25*$Q$26),$AN$25*$Q$27),$AO$25*$Q$28),1,0)</f>
        <v>0</v>
      </c>
      <c r="BD16" s="9">
        <f>IF(_xlfn.XOR(_xlfn.XOR(_xlfn.XOR($AL$26*$Q$25,$AM$26*$Q$26),$AN$26*$Q$27),$AO$26*$Q$28),1,0)</f>
        <v>1</v>
      </c>
      <c r="BE16" s="9">
        <f>IF(_xlfn.XOR(_xlfn.XOR(_xlfn.XOR($AL$27*$Q$25,$AM$27*$Q$26),$AN$27*$Q$27),$AO$27*$Q$28),1,0)</f>
        <v>1</v>
      </c>
      <c r="BF16" s="9">
        <f>IF(_xlfn.XOR(_xlfn.XOR(_xlfn.XOR($AL$28*$Q$25,$AM$28*$Q$26),$AN$28*$Q$27),$AO$28*$Q$28),1,0)</f>
        <v>1</v>
      </c>
      <c r="BG16" s="10">
        <f>IF(_xlfn.XOR(_xlfn.XOR(_xlfn.XOR($AL$29*$Q$25,$AM$29*$Q$26),$AN$29*$Q$27),$AO$29*$Q$28),1,0)</f>
        <v>1</v>
      </c>
      <c r="BL16" s="17">
        <f>$AT$14</f>
        <v>0</v>
      </c>
      <c r="BM16" s="17">
        <f>$AT$15</f>
        <v>1</v>
      </c>
      <c r="BN16" s="17">
        <f>$AT$16</f>
        <v>0</v>
      </c>
      <c r="BO16" s="17">
        <f>$AT$17</f>
        <v>0</v>
      </c>
      <c r="BP16" s="18">
        <f>$AT$18</f>
        <v>0</v>
      </c>
      <c r="BQ16" s="18">
        <f>$AT$19</f>
        <v>1</v>
      </c>
      <c r="BR16" s="18">
        <f>$AT$20</f>
        <v>1</v>
      </c>
      <c r="BS16" s="19">
        <f>$AT$21</f>
        <v>1</v>
      </c>
      <c r="BT16" s="2" t="s">
        <v>18</v>
      </c>
      <c r="BU16" s="17">
        <f>IF(_xlfn.XOR($BL$16,_xlfn.XOR($BU$10,$BU$11)),1,0)</f>
        <v>0</v>
      </c>
      <c r="BV16" s="17">
        <f>IF(_xlfn.XOR($BM$16,_xlfn.XOR($BV$10,$BV$11)),1,0)</f>
        <v>1</v>
      </c>
      <c r="BW16" s="17">
        <f>IF(_xlfn.XOR($BN$16,_xlfn.XOR($BW$10,$BW$11)),1,0)</f>
        <v>0</v>
      </c>
      <c r="BX16" s="17">
        <f>IF(_xlfn.XOR($BO$16,_xlfn.XOR($BX$10,$BX$11)),1,0)</f>
        <v>0</v>
      </c>
      <c r="BY16" s="18">
        <f>IF(_xlfn.XOR($BP$16,_xlfn.XOR($BY$10,$BY$11)),1,0)</f>
        <v>0</v>
      </c>
      <c r="BZ16" s="18">
        <f>IF(_xlfn.XOR($BQ$16,_xlfn.XOR($BZ$10,$BZ$11)),1,0)</f>
        <v>1</v>
      </c>
      <c r="CA16" s="18">
        <f>IF(_xlfn.XOR($BR$16,_xlfn.XOR($CA$10,$CA$11)),1,0)</f>
        <v>1</v>
      </c>
      <c r="CB16" s="19">
        <f>IF(_xlfn.XOR($BS$16,_xlfn.XOR($CB$10,$CB$11)),1,0)</f>
        <v>1</v>
      </c>
      <c r="CC16" s="46" t="str">
        <f t="shared" si="6"/>
        <v>E2</v>
      </c>
      <c r="CD16" s="47"/>
      <c r="CE16" s="19">
        <f>IF(_xlfn.XOR(_xlfn.XOR(_xlfn.XOR(_xlfn.XOR(_xlfn.XOR(_xlfn.XOR($BU$16,$BV$16),$BW$16),$BX$16),$BY$16),$BZ$16),$CA$16),1,0)</f>
        <v>1</v>
      </c>
      <c r="CF16" s="2" t="str">
        <f t="shared" si="7"/>
        <v>OK</v>
      </c>
      <c r="CJ16" s="14">
        <f>IF(_xlfn.XOR(_xlfn.XOR(_xlfn.XOR(_xlfn.XOR(_xlfn.XOR(_xlfn.XOR($BU$14*$AA$25,$BV$14*$AA$26),$BW$14*$AA$27),$BX$14*$AA$28),$BY$14*$AA$29),$BZ$14*$AA$30),$CA$14*$AA$31),1,0)</f>
        <v>0</v>
      </c>
      <c r="CK16" s="15">
        <f>IF(_xlfn.XOR(_xlfn.XOR(_xlfn.XOR(_xlfn.XOR(_xlfn.XOR(_xlfn.XOR($BU$15*$AA$25,$BV$15*$AA$26),$BW$15*$AA$27),$BX$15*$AA$28),$BY$15*$AA$29),$BZ$15*$AA$30),$CA$15*$AA$31),1,0)</f>
        <v>0</v>
      </c>
      <c r="CL16" s="15">
        <f>IF(_xlfn.XOR(_xlfn.XOR(_xlfn.XOR(_xlfn.XOR(_xlfn.XOR(_xlfn.XOR($BU$16*$AA$25,$BV$16*$AA$26),$BW$16*$AA$27),$BX$16*$AA$28),$BY$16*$AA$29),$BZ$16*$AA$30),$CA$16*$AA$31),1,0)</f>
        <v>0</v>
      </c>
      <c r="CM16" s="15">
        <f>IF(_xlfn.XOR(_xlfn.XOR(_xlfn.XOR(_xlfn.XOR(_xlfn.XOR(_xlfn.XOR($BU$17*$AA$25,$BV$17*$AA$26),$BW$17*$AA$27),$BX$17*$AA$28),$BY$17*$AA$29),$BZ$17*$AA$30),$CA$17*$AA$31),1,0)</f>
        <v>0</v>
      </c>
      <c r="CN16" s="15">
        <f>IF(_xlfn.XOR(_xlfn.XOR(_xlfn.XOR(_xlfn.XOR(_xlfn.XOR(_xlfn.XOR($BU$18*$AA$25,$BV$18*$AA$26),$BW$18*$AA$27),$BX$18*$AA$28),$BY$18*$AA$29),$BZ$18*$AA$30),$CA$18*$AA$31),1,0)</f>
        <v>0</v>
      </c>
      <c r="CO16" s="15">
        <f>IF(_xlfn.XOR(_xlfn.XOR(_xlfn.XOR(_xlfn.XOR(_xlfn.XOR(_xlfn.XOR($BU$19*$AA$25,$BV$19*$AA$26),$BW$19*$AA$27),$BX$19*$AA$28),$BY$19*$AA$29),$BZ$19*$AA$30),$CA$19*$AA$31),1,0)</f>
        <v>0</v>
      </c>
      <c r="CP16" s="15">
        <f>IF(_xlfn.XOR(_xlfn.XOR(_xlfn.XOR(_xlfn.XOR(_xlfn.XOR(_xlfn.XOR($BU$20*$AA$25,$BV$20*$AA$26),$BW$20*$AA$27),$BX$20*$AA$28),$BY$20*$AA$29),$BZ$20*$AA$30),$CA$20*$AA$31),1,0)</f>
        <v>0</v>
      </c>
      <c r="CQ16" s="15">
        <f>IF(_xlfn.XOR(_xlfn.XOR(_xlfn.XOR(_xlfn.XOR(_xlfn.XOR(_xlfn.XOR($BU$21*$AA$25,$BV$21*$AA$26),$BW$21*$AA$27),$BX$21*$AA$28),$BY$21*$AA$29),$BZ$21*$AA$30),$CA$21*$AA$31),1,0)</f>
        <v>0</v>
      </c>
      <c r="CR16" s="15">
        <f>IF(_xlfn.XOR(_xlfn.XOR(_xlfn.XOR(_xlfn.XOR(_xlfn.XOR(_xlfn.XOR($BU$22*$AA$25,$BV$22*$AA$26),$BW$22*$AA$27),$BX$22*$AA$28),$BY$22*$AA$29),$BZ$22*$AA$30),$CA$22*$AA$31),1,0)</f>
        <v>0</v>
      </c>
      <c r="CS16" s="15">
        <f>IF(_xlfn.XOR(_xlfn.XOR(_xlfn.XOR(_xlfn.XOR(_xlfn.XOR(_xlfn.XOR($BU$23*$AA$25,$BV$23*$AA$26),$BW$23*$AA$27),$BX$23*$AA$28),$BY$23*$AA$29),$BZ$23*$AA$30),$CA$23*$AA$31),1,0)</f>
        <v>0</v>
      </c>
      <c r="CT16" s="15">
        <f>IF(_xlfn.XOR(_xlfn.XOR(_xlfn.XOR(_xlfn.XOR(_xlfn.XOR(_xlfn.XOR($BU$24*$AA$25,$BV$24*$AA$26),$BW$24*$AA$27),$BX$24*$AA$28),$BY$24*$AA$29),$BZ$24*$AA$30),$CA$24*$AA$31),1,0)</f>
        <v>0</v>
      </c>
      <c r="CU16" s="15">
        <f>IF(_xlfn.XOR(_xlfn.XOR(_xlfn.XOR(_xlfn.XOR(_xlfn.XOR(_xlfn.XOR($BU$25*$AA$25,$BV$25*$AA$26),$BW$25*$AA$27),$BX$25*$AA$28),$BY$25*$AA$29),$BZ$25*$AA$30),$CA$25*$AA$31),1,0)</f>
        <v>0</v>
      </c>
      <c r="CV16" s="15">
        <f>IF(_xlfn.XOR(_xlfn.XOR(_xlfn.XOR(_xlfn.XOR(_xlfn.XOR(_xlfn.XOR($BU$26*$AA$25,$BV$26*$AA$26),$BW$26*$AA$27),$BX$26*$AA$28),$BY$26*$AA$29),$BZ$26*$AA$30),$CA$26*$AA$31),1,0)</f>
        <v>0</v>
      </c>
      <c r="CW16" s="15">
        <f>IF(_xlfn.XOR(_xlfn.XOR(_xlfn.XOR(_xlfn.XOR(_xlfn.XOR(_xlfn.XOR($BU$27*$AA$25,$BV$27*$AA$26),$BW$27*$AA$27),$BX$27*$AA$28),$BY$27*$AA$29),$BZ$27*$AA$30),$CA$27*$AA$31),1,0)</f>
        <v>0</v>
      </c>
      <c r="CX16" s="15">
        <f>IF(_xlfn.XOR(_xlfn.XOR(_xlfn.XOR(_xlfn.XOR(_xlfn.XOR(_xlfn.XOR($BU$28*$AA$25,$BV$28*$AA$26),$BW$28*$AA$27),$BX$28*$AA$28),$BY$28*$AA$29),$BZ$28*$AA$30),$CA$28*$AA$31),1,0)</f>
        <v>0</v>
      </c>
      <c r="CY16" s="16">
        <f>IF(_xlfn.XOR(_xlfn.XOR(_xlfn.XOR(_xlfn.XOR(_xlfn.XOR(_xlfn.XOR($BU$29*$AA$25,$BV$29*$AA$26),$BW$29*$AA$27),$BX$29*$AA$28),$BY$29*$AA$29),$BZ$29*$AA$30),$CA$29*$AA$31),1,0)</f>
        <v>0</v>
      </c>
      <c r="DI16" s="50"/>
      <c r="DJ16" s="21">
        <f>mulMat(HEX2DEC($AP$14),HEX2DEC($T$29))</f>
        <v>0</v>
      </c>
      <c r="DK16" s="22">
        <f>mulMat(HEX2DEC($AP$15),HEX2DEC($T$29))</f>
        <v>1</v>
      </c>
      <c r="DL16" s="22">
        <f>mulMat(HEX2DEC($AP$16),HEX2DEC($T$29))</f>
        <v>1</v>
      </c>
      <c r="DM16" s="22">
        <f>mulMat(HEX2DEC($AP$17),HEX2DEC($T$29))</f>
        <v>0</v>
      </c>
      <c r="DN16" s="22">
        <f>mulMat(HEX2DEC($AP$18),HEX2DEC($T$29))</f>
        <v>0</v>
      </c>
      <c r="DO16" s="22">
        <f>mulMat(HEX2DEC($AP$19),HEX2DEC($T$29))</f>
        <v>1</v>
      </c>
      <c r="DP16" s="22">
        <f>mulMat(HEX2DEC($AP$20),HEX2DEC($T$29))</f>
        <v>1</v>
      </c>
      <c r="DQ16" s="22">
        <f>mulMat(HEX2DEC($AP$21),HEX2DEC($T$29))</f>
        <v>0</v>
      </c>
      <c r="DR16" s="22">
        <f>mulMat(HEX2DEC($AP$22),HEX2DEC($T$29))</f>
        <v>1</v>
      </c>
      <c r="DS16" s="22">
        <f>mulMat(HEX2DEC($AP$23),HEX2DEC($T$29))</f>
        <v>0</v>
      </c>
      <c r="DT16" s="22">
        <f>mulMat(HEX2DEC($AP$24),HEX2DEC($T$29))</f>
        <v>0</v>
      </c>
      <c r="DU16" s="22">
        <f>mulMat(HEX2DEC($AP$25),HEX2DEC($T$29))</f>
        <v>1</v>
      </c>
      <c r="DV16" s="22">
        <f>mulMat(HEX2DEC($AP$26),HEX2DEC($T$29))</f>
        <v>1</v>
      </c>
      <c r="DW16" s="22">
        <f>mulMat(HEX2DEC($AP$27),HEX2DEC($T$29))</f>
        <v>0</v>
      </c>
      <c r="DX16" s="22">
        <f>mulMat(HEX2DEC($AP$28),HEX2DEC($T$29))</f>
        <v>0</v>
      </c>
      <c r="DY16" s="23">
        <f>mulMat(HEX2DEC($AP$29),HEX2DEC($T$29))</f>
        <v>1</v>
      </c>
      <c r="DZ16" s="50"/>
      <c r="EA16" s="50"/>
      <c r="EB16" s="21">
        <f>$BZ$14</f>
        <v>0</v>
      </c>
      <c r="EC16" s="22">
        <f>$BZ$15</f>
        <v>1</v>
      </c>
      <c r="ED16" s="22">
        <f>$BZ$16</f>
        <v>1</v>
      </c>
      <c r="EE16" s="22">
        <f>$BZ$17</f>
        <v>0</v>
      </c>
      <c r="EF16" s="22">
        <f>$BZ$18</f>
        <v>0</v>
      </c>
      <c r="EG16" s="22">
        <f>$BZ$19</f>
        <v>1</v>
      </c>
      <c r="EH16" s="22">
        <f>$BZ$20</f>
        <v>1</v>
      </c>
      <c r="EI16" s="22">
        <f>$BZ$21</f>
        <v>0</v>
      </c>
      <c r="EJ16" s="22">
        <f>$BZ$22</f>
        <v>1</v>
      </c>
      <c r="EK16" s="22">
        <f>$BZ$23</f>
        <v>0</v>
      </c>
      <c r="EL16" s="22">
        <f>$BZ$24</f>
        <v>0</v>
      </c>
      <c r="EM16" s="22">
        <f>$BZ$25</f>
        <v>1</v>
      </c>
      <c r="EN16" s="22">
        <f>$BZ$26</f>
        <v>1</v>
      </c>
      <c r="EO16" s="22">
        <f>$BZ$27</f>
        <v>0</v>
      </c>
      <c r="EP16" s="22">
        <f>$BZ$28</f>
        <v>0</v>
      </c>
      <c r="EQ16" s="23">
        <f>$BZ$29</f>
        <v>1</v>
      </c>
      <c r="ER16" s="50"/>
    </row>
    <row r="17" spans="2:148" ht="12.75" thickTop="1" thickBot="1" x14ac:dyDescent="0.2">
      <c r="B17" s="2" t="s">
        <v>64</v>
      </c>
      <c r="C17" s="4"/>
      <c r="D17" s="4"/>
      <c r="E17" s="4"/>
      <c r="F17" s="4"/>
      <c r="G17" s="4"/>
      <c r="H17" s="4"/>
      <c r="O17" s="38">
        <v>1</v>
      </c>
      <c r="P17" s="38">
        <v>1</v>
      </c>
      <c r="Q17" s="38">
        <v>1</v>
      </c>
      <c r="R17" s="38">
        <v>1</v>
      </c>
      <c r="S17" s="38">
        <v>1</v>
      </c>
      <c r="T17" s="38">
        <v>1</v>
      </c>
      <c r="U17" s="38">
        <v>1</v>
      </c>
      <c r="V17" s="37">
        <v>1</v>
      </c>
      <c r="Y17" s="5">
        <f>R25</f>
        <v>0</v>
      </c>
      <c r="Z17" s="5">
        <f>R26</f>
        <v>0</v>
      </c>
      <c r="AA17" s="5">
        <f>R27</f>
        <v>0</v>
      </c>
      <c r="AB17" s="5">
        <f>R28</f>
        <v>1</v>
      </c>
      <c r="AE17" s="6">
        <f>IF(_xlfn.XOR(_xlfn.XOR(_xlfn.XOR(_xlfn.XOR(_xlfn.XOR(_xlfn.XOR($O$14*$AB$14,$P$14*$AB$15),$Q$14*$AB$16),$R$14*$AB$17),$S$14*$AB$18),$T$14*$AB$19),$U$14*$AB$20),1,0)</f>
        <v>0</v>
      </c>
      <c r="AF17" s="6">
        <f>IF(_xlfn.XOR(_xlfn.XOR(_xlfn.XOR(_xlfn.XOR(_xlfn.XOR(_xlfn.XOR($O$15*$AB$14,$P$15*$AB$15),$Q$15*$AB$16),$R$15*$AB$17),$S$15*$AB$18),$T$15*$AB$19),$U$15*$AB$20),1,0)</f>
        <v>0</v>
      </c>
      <c r="AG17" s="6">
        <f>IF(_xlfn.XOR(_xlfn.XOR(_xlfn.XOR(_xlfn.XOR(_xlfn.XOR(_xlfn.XOR($O$16*$AB$14,$P$16*$AB$15),$Q$16*$AB$16),$R$16*$AB$17),$S$16*$AB$18),$T$16*$AB$19),$U$16*$AB$20),1,0)</f>
        <v>0</v>
      </c>
      <c r="AH17" s="2">
        <f t="shared" si="4"/>
        <v>0</v>
      </c>
      <c r="AL17" s="17">
        <v>1</v>
      </c>
      <c r="AM17" s="17">
        <v>1</v>
      </c>
      <c r="AN17" s="17">
        <v>0</v>
      </c>
      <c r="AO17" s="17">
        <v>0</v>
      </c>
      <c r="AP17" s="4" t="str">
        <f t="shared" si="5"/>
        <v>3</v>
      </c>
      <c r="AR17" s="8">
        <f>IF(_xlfn.XOR(_xlfn.XOR(_xlfn.XOR($AL$14*$R$25,$AM$14*$R$26),$AN$14*$R$27),$AO$14*$R$28),1,0)</f>
        <v>0</v>
      </c>
      <c r="AS17" s="9">
        <f>IF(_xlfn.XOR(_xlfn.XOR(_xlfn.XOR($AL$15*$R$25,$AM$15*$R$26),$AN$15*$R$27),$AO$15*$R$28),1,0)</f>
        <v>0</v>
      </c>
      <c r="AT17" s="9">
        <f>IF(_xlfn.XOR(_xlfn.XOR(_xlfn.XOR($AL$16*$R$25,$AM$16*$R$26),$AN$16*$R$27),$AO$16*$R$28),1,0)</f>
        <v>0</v>
      </c>
      <c r="AU17" s="9">
        <f>IF(_xlfn.XOR(_xlfn.XOR(_xlfn.XOR($AL$17*$R$25,$AM$17*$R$26),$AN$17*$R$27),$AO$17*$R$28),1,0)</f>
        <v>0</v>
      </c>
      <c r="AV17" s="9">
        <f>IF(_xlfn.XOR(_xlfn.XOR(_xlfn.XOR($AL$18*$R$25,$AM$18*$R$26),$AN$18*$R$27),$AO$18*$R$28),1,0)</f>
        <v>0</v>
      </c>
      <c r="AW17" s="9">
        <f>IF(_xlfn.XOR(_xlfn.XOR(_xlfn.XOR($AL$19*$R$25,$AM$19*$R$26),$AN$19*$R$27),$AO$19*$R$28),1,0)</f>
        <v>0</v>
      </c>
      <c r="AX17" s="9">
        <f>IF(_xlfn.XOR(_xlfn.XOR(_xlfn.XOR($AL$20*$R$25,$AM$20*$R$26),$AN$20*$R$27),$AO$20*$R$28),1,0)</f>
        <v>0</v>
      </c>
      <c r="AY17" s="9">
        <f>IF(_xlfn.XOR(_xlfn.XOR(_xlfn.XOR($AL$21*$R$25,$AM$21*$R$26),$AN$21*$R$27),$AO$21*$R$28),1,0)</f>
        <v>0</v>
      </c>
      <c r="AZ17" s="9">
        <f>IF(_xlfn.XOR(_xlfn.XOR(_xlfn.XOR($AL$22*$R$25,$AM$22*$R$26),$AN$22*$R$27),$AO$22*$R$28),1,0)</f>
        <v>1</v>
      </c>
      <c r="BA17" s="9">
        <f>IF(_xlfn.XOR(_xlfn.XOR(_xlfn.XOR($AL$23*$R$25,$AM$23*$R$26),$AN$23*$R$27),$AO$23*$R$28),1,0)</f>
        <v>1</v>
      </c>
      <c r="BB17" s="9">
        <f>IF(_xlfn.XOR(_xlfn.XOR(_xlfn.XOR($AL$24*$R$25,$AM$24*$R$26),$AN$24*$R$27),$AO$24*$R$28),1,0)</f>
        <v>1</v>
      </c>
      <c r="BC17" s="9">
        <f>IF(_xlfn.XOR(_xlfn.XOR(_xlfn.XOR($AL$25*$R$25,$AM$25*$R$26),$AN$25*$R$27),$AO$25*$R$28),1,0)</f>
        <v>1</v>
      </c>
      <c r="BD17" s="9">
        <f>IF(_xlfn.XOR(_xlfn.XOR(_xlfn.XOR($AL$26*$R$25,$AM$26*$R$26),$AN$26*$R$27),$AO$26*$R$28),1,0)</f>
        <v>1</v>
      </c>
      <c r="BE17" s="9">
        <f>IF(_xlfn.XOR(_xlfn.XOR(_xlfn.XOR($AL$27*$R$25,$AM$27*$R$26),$AN$27*$R$27),$AO$27*$R$28),1,0)</f>
        <v>1</v>
      </c>
      <c r="BF17" s="9">
        <f>IF(_xlfn.XOR(_xlfn.XOR(_xlfn.XOR($AL$28*$R$25,$AM$28*$R$26),$AN$28*$R$27),$AO$28*$R$28),1,0)</f>
        <v>1</v>
      </c>
      <c r="BG17" s="10">
        <f>IF(_xlfn.XOR(_xlfn.XOR(_xlfn.XOR($AL$29*$R$25,$AM$29*$R$26),$AN$29*$R$27),$AO$29*$R$28),1,0)</f>
        <v>1</v>
      </c>
      <c r="BL17" s="17">
        <f>$AU$14</f>
        <v>1</v>
      </c>
      <c r="BM17" s="17">
        <f>$AU$15</f>
        <v>1</v>
      </c>
      <c r="BN17" s="17">
        <f>$AU$16</f>
        <v>0</v>
      </c>
      <c r="BO17" s="17">
        <f>$AU$17</f>
        <v>0</v>
      </c>
      <c r="BP17" s="18">
        <f>$AU$18</f>
        <v>1</v>
      </c>
      <c r="BQ17" s="18">
        <f>$AU$19</f>
        <v>0</v>
      </c>
      <c r="BR17" s="18">
        <f>$AU$20</f>
        <v>1</v>
      </c>
      <c r="BS17" s="19">
        <f>$AU$21</f>
        <v>0</v>
      </c>
      <c r="BT17" s="2" t="s">
        <v>18</v>
      </c>
      <c r="BU17" s="17">
        <f>IF(_xlfn.XOR($BL$17,_xlfn.XOR($BU$10,$BU$11)),1,0)</f>
        <v>1</v>
      </c>
      <c r="BV17" s="17">
        <f>IF(_xlfn.XOR($BM$17,_xlfn.XOR($BV$10,$BV$11)),1,0)</f>
        <v>1</v>
      </c>
      <c r="BW17" s="17">
        <f>IF(_xlfn.XOR($BN$17,_xlfn.XOR($BW$10,$BW$11)),1,0)</f>
        <v>0</v>
      </c>
      <c r="BX17" s="17">
        <f>IF(_xlfn.XOR($BO$17,_xlfn.XOR($BX$10,$BX$11)),1,0)</f>
        <v>0</v>
      </c>
      <c r="BY17" s="18">
        <f>IF(_xlfn.XOR($BP$17,_xlfn.XOR($BY$10,$BY$11)),1,0)</f>
        <v>1</v>
      </c>
      <c r="BZ17" s="18">
        <f>IF(_xlfn.XOR($BQ$17,_xlfn.XOR($BZ$10,$BZ$11)),1,0)</f>
        <v>0</v>
      </c>
      <c r="CA17" s="18">
        <f>IF(_xlfn.XOR($BR$17,_xlfn.XOR($CA$10,$CA$11)),1,0)</f>
        <v>1</v>
      </c>
      <c r="CB17" s="19">
        <f>IF(_xlfn.XOR($BS$17,_xlfn.XOR($CB$10,$CB$11)),1,0)</f>
        <v>0</v>
      </c>
      <c r="CC17" s="46" t="str">
        <f t="shared" si="6"/>
        <v>53</v>
      </c>
      <c r="CD17" s="47"/>
      <c r="CE17" s="19">
        <f>IF(_xlfn.XOR(_xlfn.XOR(_xlfn.XOR(_xlfn.XOR(_xlfn.XOR(_xlfn.XOR($BU$17,$BV$17),$BW$17),$BX$17),$BY$17),$BZ$17),$CA$17),1,0)</f>
        <v>0</v>
      </c>
      <c r="CF17" s="2" t="str">
        <f t="shared" si="7"/>
        <v>OK</v>
      </c>
      <c r="CJ17" s="39">
        <f>IF($CB14=$CE14,0,1)</f>
        <v>0</v>
      </c>
      <c r="CK17" s="40">
        <f>IF($CB15=$CE15,0,1)</f>
        <v>0</v>
      </c>
      <c r="CL17" s="40">
        <f>IF($CB16=$CE16,0,1)</f>
        <v>0</v>
      </c>
      <c r="CM17" s="40">
        <f>IF($CB17=$CE17,0,1)</f>
        <v>0</v>
      </c>
      <c r="CN17" s="40">
        <f>IF($CB18=$CE18,0,1)</f>
        <v>0</v>
      </c>
      <c r="CO17" s="40">
        <f>IF($CB19=$CE19,0,1)</f>
        <v>0</v>
      </c>
      <c r="CP17" s="40">
        <f>IF($CB20=$CE20,0,1)</f>
        <v>0</v>
      </c>
      <c r="CQ17" s="40">
        <f>IF($CB21=$CE21,0,1)</f>
        <v>0</v>
      </c>
      <c r="CR17" s="40">
        <f>IF($CB22=$CE22,0,1)</f>
        <v>0</v>
      </c>
      <c r="CS17" s="40">
        <f>IF($CB23=$CE23,0,1)</f>
        <v>0</v>
      </c>
      <c r="CT17" s="40">
        <f>IF($CB24=$CE24,0,1)</f>
        <v>0</v>
      </c>
      <c r="CU17" s="40">
        <f>IF($CB25=$CE25,0,1)</f>
        <v>0</v>
      </c>
      <c r="CV17" s="40">
        <f>IF($CB26=$CE26,0,1)</f>
        <v>0</v>
      </c>
      <c r="CW17" s="40">
        <f>IF($CB27=$CE27,0,1)</f>
        <v>0</v>
      </c>
      <c r="CX17" s="40">
        <f>IF($CB28=$CE28,0,1)</f>
        <v>0</v>
      </c>
      <c r="CY17" s="41">
        <f>IF($CB29=$CE29,0,1)</f>
        <v>0</v>
      </c>
      <c r="CZ17" s="2" t="s">
        <v>68</v>
      </c>
      <c r="DI17" s="50"/>
      <c r="DJ17" s="21">
        <f>mulMat(HEX2DEC($AP$14),HEX2DEC($U$29))</f>
        <v>0</v>
      </c>
      <c r="DK17" s="22">
        <f>mulMat(HEX2DEC($AP$15),HEX2DEC($U$29))</f>
        <v>0</v>
      </c>
      <c r="DL17" s="22">
        <f>mulMat(HEX2DEC($AP$16),HEX2DEC($U$29))</f>
        <v>1</v>
      </c>
      <c r="DM17" s="22">
        <f>mulMat(HEX2DEC($AP$17),HEX2DEC($U$29))</f>
        <v>1</v>
      </c>
      <c r="DN17" s="22">
        <f>mulMat(HEX2DEC($AP$18),HEX2DEC($U$29))</f>
        <v>1</v>
      </c>
      <c r="DO17" s="22">
        <f>mulMat(HEX2DEC($AP$19),HEX2DEC($U$29))</f>
        <v>1</v>
      </c>
      <c r="DP17" s="22">
        <f>mulMat(HEX2DEC($AP$20),HEX2DEC($U$29))</f>
        <v>0</v>
      </c>
      <c r="DQ17" s="22">
        <f>mulMat(HEX2DEC($AP$21),HEX2DEC($U$29))</f>
        <v>0</v>
      </c>
      <c r="DR17" s="22">
        <f>mulMat(HEX2DEC($AP$22),HEX2DEC($U$29))</f>
        <v>1</v>
      </c>
      <c r="DS17" s="22">
        <f>mulMat(HEX2DEC($AP$23),HEX2DEC($U$29))</f>
        <v>1</v>
      </c>
      <c r="DT17" s="22">
        <f>mulMat(HEX2DEC($AP$24),HEX2DEC($U$29))</f>
        <v>0</v>
      </c>
      <c r="DU17" s="22">
        <f>mulMat(HEX2DEC($AP$25),HEX2DEC($U$29))</f>
        <v>0</v>
      </c>
      <c r="DV17" s="22">
        <f>mulMat(HEX2DEC($AP$26),HEX2DEC($U$29))</f>
        <v>0</v>
      </c>
      <c r="DW17" s="22">
        <f>mulMat(HEX2DEC($AP$27),HEX2DEC($U$29))</f>
        <v>0</v>
      </c>
      <c r="DX17" s="22">
        <f>mulMat(HEX2DEC($AP$28),HEX2DEC($U$29))</f>
        <v>1</v>
      </c>
      <c r="DY17" s="23">
        <f>mulMat(HEX2DEC($AP$29),HEX2DEC($U$29))</f>
        <v>1</v>
      </c>
      <c r="DZ17" s="50"/>
      <c r="EA17" s="50"/>
      <c r="EB17" s="21">
        <f>$CA$14</f>
        <v>0</v>
      </c>
      <c r="EC17" s="22">
        <f>$CA$15</f>
        <v>0</v>
      </c>
      <c r="ED17" s="22">
        <f>$CA$16</f>
        <v>1</v>
      </c>
      <c r="EE17" s="22">
        <f>$CA$17</f>
        <v>1</v>
      </c>
      <c r="EF17" s="22">
        <f>$CA$18</f>
        <v>1</v>
      </c>
      <c r="EG17" s="22">
        <f>$CA$19</f>
        <v>1</v>
      </c>
      <c r="EH17" s="22">
        <f>$CA$20</f>
        <v>0</v>
      </c>
      <c r="EI17" s="22">
        <f>$CA$21</f>
        <v>0</v>
      </c>
      <c r="EJ17" s="22">
        <f>$CA$22</f>
        <v>1</v>
      </c>
      <c r="EK17" s="22">
        <f>$CA$23</f>
        <v>1</v>
      </c>
      <c r="EL17" s="22">
        <f>$CA$24</f>
        <v>0</v>
      </c>
      <c r="EM17" s="22">
        <f>$CA$25</f>
        <v>0</v>
      </c>
      <c r="EN17" s="22">
        <f>$CA$26</f>
        <v>0</v>
      </c>
      <c r="EO17" s="22">
        <f>$CA$27</f>
        <v>0</v>
      </c>
      <c r="EP17" s="22">
        <f>$CA$28</f>
        <v>1</v>
      </c>
      <c r="EQ17" s="23">
        <f>$CA$29</f>
        <v>1</v>
      </c>
      <c r="ER17" s="50"/>
    </row>
    <row r="18" spans="2:148" ht="12.75" thickTop="1" thickBot="1" x14ac:dyDescent="0.2">
      <c r="B18" s="2" t="s">
        <v>65</v>
      </c>
      <c r="O18" s="4" t="str">
        <f>DEC2HEX(1*O14+2*O15+4*O16+8*O17,1)</f>
        <v>B</v>
      </c>
      <c r="P18" s="4" t="str">
        <f t="shared" ref="P18:V18" si="8">DEC2HEX(1*P14+2*P15+4*P16+8*P17,1)</f>
        <v>E</v>
      </c>
      <c r="Q18" s="4" t="str">
        <f t="shared" si="8"/>
        <v>D</v>
      </c>
      <c r="R18" s="4" t="str">
        <f t="shared" si="8"/>
        <v>F</v>
      </c>
      <c r="S18" s="4" t="str">
        <f t="shared" si="8"/>
        <v>9</v>
      </c>
      <c r="T18" s="4" t="str">
        <f t="shared" si="8"/>
        <v>A</v>
      </c>
      <c r="U18" s="4" t="str">
        <f t="shared" si="8"/>
        <v>C</v>
      </c>
      <c r="V18" s="4" t="str">
        <f t="shared" si="8"/>
        <v>8</v>
      </c>
      <c r="Y18" s="36">
        <f>S25</f>
        <v>1</v>
      </c>
      <c r="Z18" s="36">
        <f>S26</f>
        <v>0</v>
      </c>
      <c r="AA18" s="36">
        <f>S27</f>
        <v>1</v>
      </c>
      <c r="AB18" s="36">
        <f>S28</f>
        <v>1</v>
      </c>
      <c r="AE18" s="2">
        <f>SUM(AE14:AE17)</f>
        <v>0</v>
      </c>
      <c r="AF18" s="2">
        <f t="shared" ref="AF18:AH18" si="9">SUM(AF14:AF17)</f>
        <v>0</v>
      </c>
      <c r="AG18" s="2">
        <f t="shared" si="9"/>
        <v>0</v>
      </c>
      <c r="AH18" s="2">
        <f t="shared" si="9"/>
        <v>0</v>
      </c>
      <c r="AL18" s="17">
        <v>0</v>
      </c>
      <c r="AM18" s="17">
        <v>0</v>
      </c>
      <c r="AN18" s="17">
        <v>1</v>
      </c>
      <c r="AO18" s="17">
        <v>0</v>
      </c>
      <c r="AP18" s="4" t="str">
        <f t="shared" si="5"/>
        <v>4</v>
      </c>
      <c r="AR18" s="21">
        <f>IF(_xlfn.XOR(_xlfn.XOR(_xlfn.XOR($AL$14*$S$25,$AM$14*$S$26),$AN$14*$S$27),$AO$14*$S$28),1,0)</f>
        <v>0</v>
      </c>
      <c r="AS18" s="22">
        <f>IF(_xlfn.XOR(_xlfn.XOR(_xlfn.XOR($AL$15*$S$25,$AM$15*$S$26),$AN$15*$S$27),$AO$15*$S$28),1,0)</f>
        <v>1</v>
      </c>
      <c r="AT18" s="22">
        <f>IF(_xlfn.XOR(_xlfn.XOR(_xlfn.XOR($AL$16*$S$25,$AM$16*$S$26),$AN$16*$S$27),$AO$16*$S$28),1,0)</f>
        <v>0</v>
      </c>
      <c r="AU18" s="22">
        <f>IF(_xlfn.XOR(_xlfn.XOR(_xlfn.XOR($AL$17*$S$25,$AM$17*$S$26),$AN$17*$S$27),$AO$17*$S$28),1,0)</f>
        <v>1</v>
      </c>
      <c r="AV18" s="22">
        <f>IF(_xlfn.XOR(_xlfn.XOR(_xlfn.XOR($AL$18*$S$25,$AM$18*$S$26),$AN$18*$S$27),$AO$18*$S$28),1,0)</f>
        <v>1</v>
      </c>
      <c r="AW18" s="22">
        <f>IF(_xlfn.XOR(_xlfn.XOR(_xlfn.XOR($AL$19*$S$25,$AM$19*$S$26),$AN$19*$S$27),$AO$19*$S$28),1,0)</f>
        <v>0</v>
      </c>
      <c r="AX18" s="22">
        <f>IF(_xlfn.XOR(_xlfn.XOR(_xlfn.XOR($AL$20*$S$25,$AM$20*$S$26),$AN$20*$S$27),$AO$20*$S$28),1,0)</f>
        <v>1</v>
      </c>
      <c r="AY18" s="22">
        <f>IF(_xlfn.XOR(_xlfn.XOR(_xlfn.XOR($AL$21*$S$25,$AM$21*$S$26),$AN$21*$S$27),$AO$21*$S$28),1,0)</f>
        <v>0</v>
      </c>
      <c r="AZ18" s="22">
        <f>IF(_xlfn.XOR(_xlfn.XOR(_xlfn.XOR($AL$22*$S$25,$AM$22*$S$26),$AN$22*$S$27),$AO$22*$S$28),1,0)</f>
        <v>1</v>
      </c>
      <c r="BA18" s="22">
        <f>IF(_xlfn.XOR(_xlfn.XOR(_xlfn.XOR($AL$23*$S$25,$AM$23*$S$26),$AN$23*$S$27),$AO$23*$S$28),1,0)</f>
        <v>0</v>
      </c>
      <c r="BB18" s="22">
        <f>IF(_xlfn.XOR(_xlfn.XOR(_xlfn.XOR($AL$24*$S$25,$AM$24*$S$26),$AN$24*$S$27),$AO$24*$S$28),1,0)</f>
        <v>1</v>
      </c>
      <c r="BC18" s="22">
        <f>IF(_xlfn.XOR(_xlfn.XOR(_xlfn.XOR($AL$25*$S$25,$AM$25*$S$26),$AN$25*$S$27),$AO$25*$S$28),1,0)</f>
        <v>0</v>
      </c>
      <c r="BD18" s="22">
        <f>IF(_xlfn.XOR(_xlfn.XOR(_xlfn.XOR($AL$26*$S$25,$AM$26*$S$26),$AN$26*$S$27),$AO$26*$S$28),1,0)</f>
        <v>0</v>
      </c>
      <c r="BE18" s="22">
        <f>IF(_xlfn.XOR(_xlfn.XOR(_xlfn.XOR($AL$27*$S$25,$AM$27*$S$26),$AN$27*$S$27),$AO$27*$S$28),1,0)</f>
        <v>1</v>
      </c>
      <c r="BF18" s="22">
        <f>IF(_xlfn.XOR(_xlfn.XOR(_xlfn.XOR($AL$28*$S$25,$AM$28*$S$26),$AN$28*$S$27),$AO$28*$S$28),1,0)</f>
        <v>0</v>
      </c>
      <c r="BG18" s="23">
        <f>IF(_xlfn.XOR(_xlfn.XOR(_xlfn.XOR($AL$29*$S$25,$AM$29*$S$26),$AN$29*$S$27),$AO$29*$S$28),1,0)</f>
        <v>1</v>
      </c>
      <c r="BL18" s="17">
        <f>$AV$14</f>
        <v>0</v>
      </c>
      <c r="BM18" s="17">
        <f>$AV$15</f>
        <v>0</v>
      </c>
      <c r="BN18" s="17">
        <f>$AV$16</f>
        <v>1</v>
      </c>
      <c r="BO18" s="17">
        <f>$AV$17</f>
        <v>0</v>
      </c>
      <c r="BP18" s="18">
        <f>$AV$18</f>
        <v>1</v>
      </c>
      <c r="BQ18" s="18">
        <f>$AV$19</f>
        <v>0</v>
      </c>
      <c r="BR18" s="18">
        <f>$AV$20</f>
        <v>1</v>
      </c>
      <c r="BS18" s="19">
        <f>$AV$21</f>
        <v>1</v>
      </c>
      <c r="BT18" s="2" t="s">
        <v>18</v>
      </c>
      <c r="BU18" s="17">
        <f>IF(_xlfn.XOR($BL$18,_xlfn.XOR($BU$10,$BU$11)),1,0)</f>
        <v>0</v>
      </c>
      <c r="BV18" s="17">
        <f>IF(_xlfn.XOR($BM$18,_xlfn.XOR($BV$10,$BV$11)),1,0)</f>
        <v>0</v>
      </c>
      <c r="BW18" s="17">
        <f>IF(_xlfn.XOR($BN$18,_xlfn.XOR($BW$10,$BW$11)),1,0)</f>
        <v>1</v>
      </c>
      <c r="BX18" s="17">
        <f>IF(_xlfn.XOR($BO$18,_xlfn.XOR($BX$10,$BX$11)),1,0)</f>
        <v>0</v>
      </c>
      <c r="BY18" s="18">
        <f>IF(_xlfn.XOR($BP$18,_xlfn.XOR($BY$10,$BY$11)),1,0)</f>
        <v>1</v>
      </c>
      <c r="BZ18" s="18">
        <f>IF(_xlfn.XOR($BQ$18,_xlfn.XOR($BZ$10,$BZ$11)),1,0)</f>
        <v>0</v>
      </c>
      <c r="CA18" s="18">
        <f>IF(_xlfn.XOR($BR$18,_xlfn.XOR($CA$10,$CA$11)),1,0)</f>
        <v>1</v>
      </c>
      <c r="CB18" s="19">
        <f>IF(_xlfn.XOR($BS$18,_xlfn.XOR($CB$10,$CB$11)),1,0)</f>
        <v>1</v>
      </c>
      <c r="CC18" s="46" t="str">
        <f t="shared" si="6"/>
        <v>D4</v>
      </c>
      <c r="CD18" s="47"/>
      <c r="CE18" s="19">
        <f>IF(_xlfn.XOR(_xlfn.XOR(_xlfn.XOR(_xlfn.XOR(_xlfn.XOR(_xlfn.XOR($BU$18,$BV$18),$BW$18),$BX$18),$BY$18),$BZ$18),$CA$18),1,0)</f>
        <v>1</v>
      </c>
      <c r="CF18" s="2" t="str">
        <f t="shared" si="7"/>
        <v>OK</v>
      </c>
      <c r="CJ18" s="2" t="str">
        <f>IF(AND(CJ$14=$U$14,CJ$15=$U15,CJ$16=$U$16,CJ$17=$U$17),7,IF(AND(CJ$14=$T$14,CJ$15=$T15,CJ$16=$T$16,CJ$17=$T$17),6,IF(AND(CJ$14=$S$14,CJ$15=$S15,CJ$16=$S$16,CJ$17=$S$17),5,IF(AND(CJ$14=$R$14,CJ$15=$R15,CJ$16=$R$16,CJ$17=$R$17),4,IF(AND(CJ$14=$Q$14,CJ$15=$Q15,CJ$16=$Q$16,CJ$17=$Q$17),3,IF(AND(CJ$14=$P$14,CJ$15=$P15,CJ$16=$P$16,CJ$17=$P$17),2,IF(AND(CJ$14=$O$14,CJ$15=$O15,CJ$16=$O$16,CJ$17=$O$17),1,"-")))))))</f>
        <v>-</v>
      </c>
      <c r="CK18" s="2" t="str">
        <f t="shared" ref="CK18:CY18" si="10">IF(AND(CK$14=$U$14,CK$15=$U15,CK$16=$U$16,CK$17=$U$17),7,IF(AND(CK$14=$T$14,CK$15=$T15,CK$16=$T$16,CK$17=$T$17),6,IF(AND(CK$14=$S$14,CK$15=$S15,CK$16=$S$16,CK$17=$S$17),5,IF(AND(CK$14=$R$14,CK$15=$R15,CK$16=$R$16,CK$17=$R$17),4,IF(AND(CK$14=$Q$14,CK$15=$Q15,CK$16=$Q$16,CK$17=$Q$17),3,IF(AND(CK$14=$P$14,CK$15=$P15,CK$16=$P$16,CK$17=$P$17),2,IF(AND(CK$14=$O$14,CK$15=$O15,CK$16=$O$16,CK$17=$O$17),1,"-")))))))</f>
        <v>-</v>
      </c>
      <c r="CL18" s="2" t="str">
        <f t="shared" si="10"/>
        <v>-</v>
      </c>
      <c r="CM18" s="2" t="str">
        <f t="shared" si="10"/>
        <v>-</v>
      </c>
      <c r="CN18" s="2" t="str">
        <f t="shared" si="10"/>
        <v>-</v>
      </c>
      <c r="CO18" s="2" t="str">
        <f t="shared" si="10"/>
        <v>-</v>
      </c>
      <c r="CP18" s="2" t="str">
        <f t="shared" si="10"/>
        <v>-</v>
      </c>
      <c r="CQ18" s="2" t="str">
        <f t="shared" si="10"/>
        <v>-</v>
      </c>
      <c r="CR18" s="2" t="str">
        <f t="shared" si="10"/>
        <v>-</v>
      </c>
      <c r="CS18" s="2" t="str">
        <f t="shared" si="10"/>
        <v>-</v>
      </c>
      <c r="CT18" s="2" t="str">
        <f t="shared" si="10"/>
        <v>-</v>
      </c>
      <c r="CU18" s="2" t="str">
        <f t="shared" si="10"/>
        <v>-</v>
      </c>
      <c r="CV18" s="2" t="str">
        <f t="shared" si="10"/>
        <v>-</v>
      </c>
      <c r="CW18" s="2" t="str">
        <f t="shared" si="10"/>
        <v>-</v>
      </c>
      <c r="CX18" s="2" t="str">
        <f t="shared" si="10"/>
        <v>-</v>
      </c>
      <c r="CY18" s="2" t="str">
        <f t="shared" si="10"/>
        <v>-</v>
      </c>
      <c r="CZ18" s="2" t="s">
        <v>19</v>
      </c>
      <c r="DI18" s="50"/>
      <c r="DJ18" s="25">
        <f>parity(DJ11:DJ17)</f>
        <v>0</v>
      </c>
      <c r="DK18" s="26">
        <f t="shared" ref="DK18:DY18" si="11">parity(DK11:DK17)</f>
        <v>1</v>
      </c>
      <c r="DL18" s="26">
        <f t="shared" si="11"/>
        <v>1</v>
      </c>
      <c r="DM18" s="26">
        <f t="shared" si="11"/>
        <v>0</v>
      </c>
      <c r="DN18" s="26">
        <f t="shared" si="11"/>
        <v>1</v>
      </c>
      <c r="DO18" s="26">
        <f t="shared" si="11"/>
        <v>0</v>
      </c>
      <c r="DP18" s="26">
        <f t="shared" si="11"/>
        <v>0</v>
      </c>
      <c r="DQ18" s="26">
        <f t="shared" si="11"/>
        <v>1</v>
      </c>
      <c r="DR18" s="26">
        <f t="shared" si="11"/>
        <v>0</v>
      </c>
      <c r="DS18" s="26">
        <f t="shared" si="11"/>
        <v>1</v>
      </c>
      <c r="DT18" s="26">
        <f t="shared" si="11"/>
        <v>1</v>
      </c>
      <c r="DU18" s="26">
        <f t="shared" si="11"/>
        <v>0</v>
      </c>
      <c r="DV18" s="26">
        <f t="shared" si="11"/>
        <v>1</v>
      </c>
      <c r="DW18" s="26">
        <f t="shared" si="11"/>
        <v>0</v>
      </c>
      <c r="DX18" s="26">
        <f t="shared" si="11"/>
        <v>0</v>
      </c>
      <c r="DY18" s="27">
        <f t="shared" si="11"/>
        <v>1</v>
      </c>
      <c r="DZ18" s="50"/>
      <c r="EA18" s="50"/>
      <c r="EB18" s="25">
        <f>$CB$14</f>
        <v>0</v>
      </c>
      <c r="EC18" s="26">
        <f>$CB$15</f>
        <v>1</v>
      </c>
      <c r="ED18" s="26">
        <f>$CB$16</f>
        <v>1</v>
      </c>
      <c r="EE18" s="26">
        <f>$CB$17</f>
        <v>0</v>
      </c>
      <c r="EF18" s="26">
        <f>$CB$18</f>
        <v>1</v>
      </c>
      <c r="EG18" s="26">
        <f>$CB$19</f>
        <v>0</v>
      </c>
      <c r="EH18" s="26">
        <f>$CB$20</f>
        <v>0</v>
      </c>
      <c r="EI18" s="26">
        <f>$CB$21</f>
        <v>1</v>
      </c>
      <c r="EJ18" s="26">
        <f>$CB$22</f>
        <v>0</v>
      </c>
      <c r="EK18" s="26">
        <f>$CB$23</f>
        <v>1</v>
      </c>
      <c r="EL18" s="26">
        <f>$CB$24</f>
        <v>1</v>
      </c>
      <c r="EM18" s="26">
        <f>$CB$25</f>
        <v>0</v>
      </c>
      <c r="EN18" s="26">
        <f>$CB$26</f>
        <v>1</v>
      </c>
      <c r="EO18" s="26">
        <f>$CB$27</f>
        <v>0</v>
      </c>
      <c r="EP18" s="26">
        <f>$CB$28</f>
        <v>0</v>
      </c>
      <c r="EQ18" s="27">
        <f>$CB$29</f>
        <v>1</v>
      </c>
      <c r="ER18" s="50"/>
    </row>
    <row r="19" spans="2:148" ht="15" thickTop="1" thickBot="1" x14ac:dyDescent="0.2">
      <c r="B19" s="2" t="s">
        <v>67</v>
      </c>
      <c r="O19" s="2" t="s">
        <v>59</v>
      </c>
      <c r="Y19" s="36">
        <f>T25</f>
        <v>1</v>
      </c>
      <c r="Z19" s="36">
        <f>T26</f>
        <v>1</v>
      </c>
      <c r="AA19" s="36">
        <f>T27</f>
        <v>0</v>
      </c>
      <c r="AB19" s="36">
        <f>T28</f>
        <v>1</v>
      </c>
      <c r="AE19" s="2" t="s">
        <v>33</v>
      </c>
      <c r="AL19" s="17">
        <v>1</v>
      </c>
      <c r="AM19" s="17">
        <v>0</v>
      </c>
      <c r="AN19" s="17">
        <v>1</v>
      </c>
      <c r="AO19" s="17">
        <v>0</v>
      </c>
      <c r="AP19" s="4" t="str">
        <f t="shared" si="5"/>
        <v>5</v>
      </c>
      <c r="AR19" s="21">
        <f>IF(_xlfn.XOR(_xlfn.XOR(_xlfn.XOR($AL$14*$T$25,$AM$14*$T$26),$AN$14*$T$27),$AO$14*$T$28),1,0)</f>
        <v>0</v>
      </c>
      <c r="AS19" s="22">
        <f>IF(_xlfn.XOR(_xlfn.XOR(_xlfn.XOR($AL$15*$T$25,$AM$15*$T$26),$AN$15*$T$27),$AO$15*$T$28),1,0)</f>
        <v>1</v>
      </c>
      <c r="AT19" s="22">
        <f>IF(_xlfn.XOR(_xlfn.XOR(_xlfn.XOR($AL$16*$T$25,$AM$16*$T$26),$AN$16*$T$27),$AO$16*$T$28),1,0)</f>
        <v>1</v>
      </c>
      <c r="AU19" s="22">
        <f>IF(_xlfn.XOR(_xlfn.XOR(_xlfn.XOR($AL$17*$T$25,$AM$17*$T$26),$AN$17*$T$27),$AO$17*$T$28),1,0)</f>
        <v>0</v>
      </c>
      <c r="AV19" s="22">
        <f>IF(_xlfn.XOR(_xlfn.XOR(_xlfn.XOR($AL$18*$T$25,$AM$18*$T$26),$AN$18*$T$27),$AO$18*$T$28),1,0)</f>
        <v>0</v>
      </c>
      <c r="AW19" s="22">
        <f>IF(_xlfn.XOR(_xlfn.XOR(_xlfn.XOR($AL$19*$T$25,$AM$19*$T$26),$AN$19*$T$27),$AO$19*$T$28),1,0)</f>
        <v>1</v>
      </c>
      <c r="AX19" s="22">
        <f>IF(_xlfn.XOR(_xlfn.XOR(_xlfn.XOR($AL$20*$T$25,$AM$20*$T$26),$AN$20*$T$27),$AO$20*$T$28),1,0)</f>
        <v>1</v>
      </c>
      <c r="AY19" s="22">
        <f>IF(_xlfn.XOR(_xlfn.XOR(_xlfn.XOR($AL$21*$T$25,$AM$21*$T$26),$AN$21*$T$27),$AO$21*$T$28),1,0)</f>
        <v>0</v>
      </c>
      <c r="AZ19" s="22">
        <f>IF(_xlfn.XOR(_xlfn.XOR(_xlfn.XOR($AL$22*$T$25,$AM$22*$T$26),$AN$22*$T$27),$AO$22*$T$28),1,0)</f>
        <v>1</v>
      </c>
      <c r="BA19" s="22">
        <f>IF(_xlfn.XOR(_xlfn.XOR(_xlfn.XOR($AL$23*$T$25,$AM$23*$T$26),$AN$23*$T$27),$AO$23*$T$28),1,0)</f>
        <v>0</v>
      </c>
      <c r="BB19" s="22">
        <f>IF(_xlfn.XOR(_xlfn.XOR(_xlfn.XOR($AL$24*$T$25,$AM$24*$T$26),$AN$24*$T$27),$AO$24*$T$28),1,0)</f>
        <v>0</v>
      </c>
      <c r="BC19" s="22">
        <f>IF(_xlfn.XOR(_xlfn.XOR(_xlfn.XOR($AL$25*$T$25,$AM$25*$T$26),$AN$25*$T$27),$AO$25*$T$28),1,0)</f>
        <v>1</v>
      </c>
      <c r="BD19" s="22">
        <f>IF(_xlfn.XOR(_xlfn.XOR(_xlfn.XOR($AL$26*$T$25,$AM$26*$T$26),$AN$26*$T$27),$AO$26*$T$28),1,0)</f>
        <v>1</v>
      </c>
      <c r="BE19" s="22">
        <f>IF(_xlfn.XOR(_xlfn.XOR(_xlfn.XOR($AL$27*$T$25,$AM$27*$T$26),$AN$27*$T$27),$AO$27*$T$28),1,0)</f>
        <v>0</v>
      </c>
      <c r="BF19" s="22">
        <f>IF(_xlfn.XOR(_xlfn.XOR(_xlfn.XOR($AL$28*$T$25,$AM$28*$T$26),$AN$28*$T$27),$AO$28*$T$28),1,0)</f>
        <v>0</v>
      </c>
      <c r="BG19" s="23">
        <f>IF(_xlfn.XOR(_xlfn.XOR(_xlfn.XOR($AL$29*$T$25,$AM$29*$T$26),$AN$29*$T$27),$AO$29*$T$28),1,0)</f>
        <v>1</v>
      </c>
      <c r="BL19" s="17">
        <f>$AW$14</f>
        <v>1</v>
      </c>
      <c r="BM19" s="17">
        <f>$AW$15</f>
        <v>0</v>
      </c>
      <c r="BN19" s="17">
        <f>$AW$16</f>
        <v>1</v>
      </c>
      <c r="BO19" s="17">
        <f>$AW$17</f>
        <v>0</v>
      </c>
      <c r="BP19" s="18">
        <f>$AW$18</f>
        <v>0</v>
      </c>
      <c r="BQ19" s="18">
        <f>$AW$19</f>
        <v>1</v>
      </c>
      <c r="BR19" s="18">
        <f>$AW$20</f>
        <v>1</v>
      </c>
      <c r="BS19" s="19">
        <f>$AW$21</f>
        <v>0</v>
      </c>
      <c r="BT19" s="2" t="s">
        <v>18</v>
      </c>
      <c r="BU19" s="17">
        <f>IF(_xlfn.XOR($BL$19,_xlfn.XOR($BU$10,$BU$11)),1,0)</f>
        <v>1</v>
      </c>
      <c r="BV19" s="17">
        <f>IF(_xlfn.XOR($BM$19,_xlfn.XOR($BV$10,$BV$11)),1,0)</f>
        <v>0</v>
      </c>
      <c r="BW19" s="17">
        <f>IF(_xlfn.XOR($BN$19,_xlfn.XOR($BW$10,$BW$11)),1,0)</f>
        <v>1</v>
      </c>
      <c r="BX19" s="17">
        <f>IF(_xlfn.XOR($BO$19,_xlfn.XOR($BX$10,$BX$11)),1,0)</f>
        <v>0</v>
      </c>
      <c r="BY19" s="18">
        <f>IF(_xlfn.XOR($BP$19,_xlfn.XOR($BY$10,$BY$11)),1,0)</f>
        <v>0</v>
      </c>
      <c r="BZ19" s="18">
        <f>IF(_xlfn.XOR($BQ$19,_xlfn.XOR($BZ$10,$BZ$11)),1,0)</f>
        <v>1</v>
      </c>
      <c r="CA19" s="18">
        <f>IF(_xlfn.XOR($BR$19,_xlfn.XOR($CA$10,$CA$11)),1,0)</f>
        <v>1</v>
      </c>
      <c r="CB19" s="19">
        <f>IF(_xlfn.XOR($BS$19,_xlfn.XOR($CB$10,$CB$11)),1,0)</f>
        <v>0</v>
      </c>
      <c r="CC19" s="46" t="str">
        <f t="shared" si="6"/>
        <v>65</v>
      </c>
      <c r="CD19" s="47"/>
      <c r="CE19" s="19">
        <f>IF(_xlfn.XOR(_xlfn.XOR(_xlfn.XOR(_xlfn.XOR(_xlfn.XOR(_xlfn.XOR($BU$19,$BV$19),$BW$19),$BX$19),$BY$19),$BZ$19),$CA$19),1,0)</f>
        <v>0</v>
      </c>
      <c r="CF19" s="2" t="str">
        <f t="shared" si="7"/>
        <v>OK</v>
      </c>
      <c r="CJ19" s="2" t="s">
        <v>71</v>
      </c>
      <c r="DI19" s="50"/>
      <c r="DJ19" s="51" t="str">
        <f>DEC2HEX(bit2int(DJ11:DJ18),2)</f>
        <v>00</v>
      </c>
      <c r="DK19" s="51" t="str">
        <f>DEC2HEX(bit2int(DK11:DK18),2)</f>
        <v>B1</v>
      </c>
      <c r="DL19" s="51" t="str">
        <f t="shared" ref="DL19:DY19" si="12">DEC2HEX(bit2int(DL11:DL18),2)</f>
        <v>E2</v>
      </c>
      <c r="DM19" s="51" t="str">
        <f t="shared" si="12"/>
        <v>53</v>
      </c>
      <c r="DN19" s="51" t="str">
        <f t="shared" si="12"/>
        <v>D4</v>
      </c>
      <c r="DO19" s="51" t="str">
        <f t="shared" si="12"/>
        <v>65</v>
      </c>
      <c r="DP19" s="51" t="str">
        <f t="shared" si="12"/>
        <v>36</v>
      </c>
      <c r="DQ19" s="51" t="str">
        <f t="shared" si="12"/>
        <v>87</v>
      </c>
      <c r="DR19" s="51" t="str">
        <f t="shared" si="12"/>
        <v>78</v>
      </c>
      <c r="DS19" s="51" t="str">
        <f t="shared" si="12"/>
        <v>C9</v>
      </c>
      <c r="DT19" s="51" t="str">
        <f t="shared" si="12"/>
        <v>9A</v>
      </c>
      <c r="DU19" s="51" t="str">
        <f t="shared" si="12"/>
        <v>2B</v>
      </c>
      <c r="DV19" s="51" t="str">
        <f t="shared" si="12"/>
        <v>AC</v>
      </c>
      <c r="DW19" s="51" t="str">
        <f t="shared" si="12"/>
        <v>1D</v>
      </c>
      <c r="DX19" s="51" t="str">
        <f t="shared" si="12"/>
        <v>4E</v>
      </c>
      <c r="DY19" s="51" t="str">
        <f t="shared" si="12"/>
        <v>FF</v>
      </c>
      <c r="DZ19" s="50"/>
      <c r="EA19" s="50"/>
      <c r="EB19" s="51" t="str">
        <f>$CC$14</f>
        <v>00</v>
      </c>
      <c r="EC19" s="51" t="str">
        <f>$CC$15</f>
        <v>B1</v>
      </c>
      <c r="ED19" s="51" t="str">
        <f>$CC$16</f>
        <v>E2</v>
      </c>
      <c r="EE19" s="51" t="str">
        <f>$CC$17</f>
        <v>53</v>
      </c>
      <c r="EF19" s="51" t="str">
        <f>$CC$18</f>
        <v>D4</v>
      </c>
      <c r="EG19" s="51" t="str">
        <f>$CC$19</f>
        <v>65</v>
      </c>
      <c r="EH19" s="51" t="str">
        <f>$CC$20</f>
        <v>36</v>
      </c>
      <c r="EI19" s="51" t="str">
        <f>$CC$21</f>
        <v>87</v>
      </c>
      <c r="EJ19" s="51" t="str">
        <f>$CC$22</f>
        <v>78</v>
      </c>
      <c r="EK19" s="51" t="str">
        <f>$CC$23</f>
        <v>C9</v>
      </c>
      <c r="EL19" s="51" t="str">
        <f>$CC$24</f>
        <v>9A</v>
      </c>
      <c r="EM19" s="51" t="str">
        <f>$CC$25</f>
        <v>2B</v>
      </c>
      <c r="EN19" s="51" t="str">
        <f>$CC$26</f>
        <v>AC</v>
      </c>
      <c r="EO19" s="51" t="str">
        <f>$CC$27</f>
        <v>1D</v>
      </c>
      <c r="EP19" s="51" t="str">
        <f>$CC$28</f>
        <v>4E</v>
      </c>
      <c r="EQ19" s="51" t="str">
        <f>$CC$29</f>
        <v>FF</v>
      </c>
      <c r="ER19" s="50"/>
    </row>
    <row r="20" spans="2:148" ht="15" thickTop="1" thickBot="1" x14ac:dyDescent="0.2">
      <c r="O20" s="2" t="s">
        <v>60</v>
      </c>
      <c r="X20" s="24"/>
      <c r="Y20" s="36">
        <f>U25</f>
        <v>0</v>
      </c>
      <c r="Z20" s="36">
        <f>U26</f>
        <v>1</v>
      </c>
      <c r="AA20" s="36">
        <f>U27</f>
        <v>1</v>
      </c>
      <c r="AB20" s="36">
        <f>U28</f>
        <v>1</v>
      </c>
      <c r="AL20" s="17">
        <v>0</v>
      </c>
      <c r="AM20" s="17">
        <v>1</v>
      </c>
      <c r="AN20" s="17">
        <v>1</v>
      </c>
      <c r="AO20" s="17">
        <v>0</v>
      </c>
      <c r="AP20" s="4" t="str">
        <f t="shared" si="5"/>
        <v>6</v>
      </c>
      <c r="AR20" s="21">
        <f>IF(_xlfn.XOR(_xlfn.XOR(_xlfn.XOR($AL$14*$U$25,$AM$14*$U$26),$AN$14*$U$27),$AO$14*$U$28),1,0)</f>
        <v>0</v>
      </c>
      <c r="AS20" s="22">
        <f>IF(_xlfn.XOR(_xlfn.XOR(_xlfn.XOR($AL$15*$U$25,$AM$15*$U$26),$AN$15*$U$27),$AO$15*$U$28),1,0)</f>
        <v>0</v>
      </c>
      <c r="AT20" s="22">
        <f>IF(_xlfn.XOR(_xlfn.XOR(_xlfn.XOR($AL$16*$U$25,$AM$16*$U$26),$AN$16*$U$27),$AO$16*$U$28),1,0)</f>
        <v>1</v>
      </c>
      <c r="AU20" s="22">
        <f>IF(_xlfn.XOR(_xlfn.XOR(_xlfn.XOR($AL$17*$U$25,$AM$17*$U$26),$AN$17*$U$27),$AO$17*$U$28),1,0)</f>
        <v>1</v>
      </c>
      <c r="AV20" s="22">
        <f>IF(_xlfn.XOR(_xlfn.XOR(_xlfn.XOR($AL$18*$U$25,$AM$18*$U$26),$AN$18*$U$27),$AO$18*$U$28),1,0)</f>
        <v>1</v>
      </c>
      <c r="AW20" s="22">
        <f>IF(_xlfn.XOR(_xlfn.XOR(_xlfn.XOR($AL$19*$U$25,$AM$19*$U$26),$AN$19*$U$27),$AO$19*$U$28),1,0)</f>
        <v>1</v>
      </c>
      <c r="AX20" s="22">
        <f>IF(_xlfn.XOR(_xlfn.XOR(_xlfn.XOR($AL$20*$U$25,$AM$20*$U$26),$AN$20*$U$27),$AO$20*$U$28),1,0)</f>
        <v>0</v>
      </c>
      <c r="AY20" s="22">
        <f>IF(_xlfn.XOR(_xlfn.XOR(_xlfn.XOR($AL$21*$U$25,$AM$21*$U$26),$AN$21*$U$27),$AO$21*$U$28),1,0)</f>
        <v>0</v>
      </c>
      <c r="AZ20" s="22">
        <f>IF(_xlfn.XOR(_xlfn.XOR(_xlfn.XOR($AL$22*$U$25,$AM$22*$U$26),$AN$22*$U$27),$AO$22*$U$28),1,0)</f>
        <v>1</v>
      </c>
      <c r="BA20" s="22">
        <f>IF(_xlfn.XOR(_xlfn.XOR(_xlfn.XOR($AL$23*$U$25,$AM$23*$U$26),$AN$23*$U$27),$AO$23*$U$28),1,0)</f>
        <v>1</v>
      </c>
      <c r="BB20" s="22">
        <f>IF(_xlfn.XOR(_xlfn.XOR(_xlfn.XOR($AL$24*$U$25,$AM$24*$U$26),$AN$24*$U$27),$AO$24*$U$28),1,0)</f>
        <v>0</v>
      </c>
      <c r="BC20" s="22">
        <f>IF(_xlfn.XOR(_xlfn.XOR(_xlfn.XOR($AL$25*$U$25,$AM$25*$U$26),$AN$25*$U$27),$AO$25*$U$28),1,0)</f>
        <v>0</v>
      </c>
      <c r="BD20" s="22">
        <f>IF(_xlfn.XOR(_xlfn.XOR(_xlfn.XOR($AL$26*$U$25,$AM$26*$U$26),$AN$26*$U$27),$AO$26*$U$28),1,0)</f>
        <v>0</v>
      </c>
      <c r="BE20" s="22">
        <f>IF(_xlfn.XOR(_xlfn.XOR(_xlfn.XOR($AL$27*$U$25,$AM$27*$U$26),$AN$27*$U$27),$AO$27*$U$28),1,0)</f>
        <v>0</v>
      </c>
      <c r="BF20" s="22">
        <f>IF(_xlfn.XOR(_xlfn.XOR(_xlfn.XOR($AL$28*$U$25,$AM$28*$U$26),$AN$28*$U$27),$AO$28*$U$28),1,0)</f>
        <v>1</v>
      </c>
      <c r="BG20" s="23">
        <f>IF(_xlfn.XOR(_xlfn.XOR(_xlfn.XOR($AL$29*$U$25,$AM$29*$U$26),$AN$29*$U$27),$AO$29*$U$28),1,0)</f>
        <v>1</v>
      </c>
      <c r="BL20" s="17">
        <f>$AX$14</f>
        <v>0</v>
      </c>
      <c r="BM20" s="17">
        <f>$AX$15</f>
        <v>1</v>
      </c>
      <c r="BN20" s="17">
        <f>$AX$16</f>
        <v>1</v>
      </c>
      <c r="BO20" s="17">
        <f>$AX$17</f>
        <v>0</v>
      </c>
      <c r="BP20" s="18">
        <f>$AX$18</f>
        <v>1</v>
      </c>
      <c r="BQ20" s="18">
        <f>$AX$19</f>
        <v>1</v>
      </c>
      <c r="BR20" s="18">
        <f>$AX$20</f>
        <v>0</v>
      </c>
      <c r="BS20" s="19">
        <f>$AX$21</f>
        <v>0</v>
      </c>
      <c r="BT20" s="2" t="s">
        <v>18</v>
      </c>
      <c r="BU20" s="17">
        <f>IF(_xlfn.XOR($BL$20,_xlfn.XOR($BU$10,$BU$11)),1,0)</f>
        <v>0</v>
      </c>
      <c r="BV20" s="17">
        <f>IF(_xlfn.XOR($BM$20,_xlfn.XOR($BV$10,$BV$11)),1,0)</f>
        <v>1</v>
      </c>
      <c r="BW20" s="17">
        <f>IF(_xlfn.XOR($BN$20,_xlfn.XOR($BW$10,$BW$11)),1,0)</f>
        <v>1</v>
      </c>
      <c r="BX20" s="17">
        <f>IF(_xlfn.XOR($BO$20,_xlfn.XOR($BX$10,$BX$11)),1,0)</f>
        <v>0</v>
      </c>
      <c r="BY20" s="18">
        <f>IF(_xlfn.XOR($BP$20,_xlfn.XOR($BY$10,$BY$11)),1,0)</f>
        <v>1</v>
      </c>
      <c r="BZ20" s="18">
        <f>IF(_xlfn.XOR($BQ$20,_xlfn.XOR($BZ$10,$BZ$11)),1,0)</f>
        <v>1</v>
      </c>
      <c r="CA20" s="18">
        <f>IF(_xlfn.XOR($BR$20,_xlfn.XOR($CA$10,$CA$11)),1,0)</f>
        <v>0</v>
      </c>
      <c r="CB20" s="19">
        <f>IF(_xlfn.XOR($BS$20,_xlfn.XOR($CB$10,$CB$11)),1,0)</f>
        <v>0</v>
      </c>
      <c r="CC20" s="46" t="str">
        <f t="shared" si="6"/>
        <v>36</v>
      </c>
      <c r="CD20" s="47"/>
      <c r="CE20" s="19">
        <f>IF(_xlfn.XOR(_xlfn.XOR(_xlfn.XOR(_xlfn.XOR(_xlfn.XOR(_xlfn.XOR($BU$20,$BV$20),$BW$20),$BX$20),$BY$20),$BZ$20),$CA$20),1,0)</f>
        <v>0</v>
      </c>
      <c r="CF20" s="2" t="str">
        <f t="shared" si="7"/>
        <v>OK</v>
      </c>
      <c r="CJ20" s="2" t="s">
        <v>73</v>
      </c>
      <c r="DI20" s="50"/>
      <c r="DJ20" s="50"/>
      <c r="DK20" s="50"/>
      <c r="DL20" s="50"/>
      <c r="DM20" s="50"/>
      <c r="DN20" s="50"/>
      <c r="DO20" s="50"/>
      <c r="DP20" s="50"/>
      <c r="DQ20" s="50"/>
      <c r="DR20" s="50"/>
      <c r="DS20" s="50"/>
      <c r="DT20" s="50"/>
      <c r="DU20" s="50"/>
      <c r="DV20" s="50"/>
      <c r="DW20" s="50"/>
      <c r="DX20" s="50"/>
      <c r="DY20" s="50"/>
      <c r="DZ20" s="50"/>
      <c r="EA20" s="51" t="s">
        <v>81</v>
      </c>
      <c r="EB20" s="51" t="str">
        <f>DEC2HEX(syndrome(HEX2DEC(EB19),HEX2DEC($Y$33),HEX2DEC($Z$33),HEX2DEC($AA$33)),1)</f>
        <v>0</v>
      </c>
      <c r="EC20" s="51" t="str">
        <f t="shared" ref="EC20:EQ20" si="13">DEC2HEX(syndrome(HEX2DEC(EC19),HEX2DEC($Y$33),HEX2DEC($Z$33),HEX2DEC($AA$33)),1)</f>
        <v>0</v>
      </c>
      <c r="ED20" s="51" t="str">
        <f t="shared" si="13"/>
        <v>0</v>
      </c>
      <c r="EE20" s="51" t="str">
        <f t="shared" si="13"/>
        <v>0</v>
      </c>
      <c r="EF20" s="51" t="str">
        <f t="shared" si="13"/>
        <v>0</v>
      </c>
      <c r="EG20" s="51" t="str">
        <f t="shared" si="13"/>
        <v>0</v>
      </c>
      <c r="EH20" s="51" t="str">
        <f t="shared" si="13"/>
        <v>0</v>
      </c>
      <c r="EI20" s="51" t="str">
        <f t="shared" si="13"/>
        <v>0</v>
      </c>
      <c r="EJ20" s="51" t="str">
        <f t="shared" si="13"/>
        <v>0</v>
      </c>
      <c r="EK20" s="51" t="str">
        <f t="shared" si="13"/>
        <v>0</v>
      </c>
      <c r="EL20" s="51" t="str">
        <f t="shared" si="13"/>
        <v>0</v>
      </c>
      <c r="EM20" s="51" t="str">
        <f t="shared" si="13"/>
        <v>0</v>
      </c>
      <c r="EN20" s="51" t="str">
        <f t="shared" si="13"/>
        <v>0</v>
      </c>
      <c r="EO20" s="51" t="str">
        <f t="shared" si="13"/>
        <v>0</v>
      </c>
      <c r="EP20" s="51" t="str">
        <f t="shared" si="13"/>
        <v>0</v>
      </c>
      <c r="EQ20" s="51" t="str">
        <f t="shared" si="13"/>
        <v>0</v>
      </c>
      <c r="ER20" s="50"/>
    </row>
    <row r="21" spans="2:148" ht="12.75" thickTop="1" thickBot="1" x14ac:dyDescent="0.2">
      <c r="O21" s="2" t="s">
        <v>55</v>
      </c>
      <c r="AL21" s="17">
        <v>1</v>
      </c>
      <c r="AM21" s="17">
        <v>1</v>
      </c>
      <c r="AN21" s="17">
        <v>1</v>
      </c>
      <c r="AO21" s="17">
        <v>0</v>
      </c>
      <c r="AP21" s="4" t="str">
        <f t="shared" si="5"/>
        <v>7</v>
      </c>
      <c r="AR21" s="25">
        <f t="shared" ref="AR21:BG21" si="14">IF(_xlfn.XOR(_xlfn.XOR(_xlfn.XOR(_xlfn.XOR(_xlfn.XOR(_xlfn.XOR(AR$14,AR$15),AR$16),AR$17),AR$18),AR$19),AR$20),1,0)</f>
        <v>0</v>
      </c>
      <c r="AS21" s="26">
        <f t="shared" si="14"/>
        <v>1</v>
      </c>
      <c r="AT21" s="26">
        <f t="shared" si="14"/>
        <v>1</v>
      </c>
      <c r="AU21" s="26">
        <f t="shared" si="14"/>
        <v>0</v>
      </c>
      <c r="AV21" s="26">
        <f t="shared" si="14"/>
        <v>1</v>
      </c>
      <c r="AW21" s="26">
        <f t="shared" si="14"/>
        <v>0</v>
      </c>
      <c r="AX21" s="26">
        <f t="shared" si="14"/>
        <v>0</v>
      </c>
      <c r="AY21" s="26">
        <f t="shared" si="14"/>
        <v>1</v>
      </c>
      <c r="AZ21" s="26">
        <f t="shared" si="14"/>
        <v>0</v>
      </c>
      <c r="BA21" s="26">
        <f t="shared" si="14"/>
        <v>1</v>
      </c>
      <c r="BB21" s="26">
        <f t="shared" si="14"/>
        <v>1</v>
      </c>
      <c r="BC21" s="26">
        <f t="shared" si="14"/>
        <v>0</v>
      </c>
      <c r="BD21" s="26">
        <f t="shared" si="14"/>
        <v>1</v>
      </c>
      <c r="BE21" s="26">
        <f t="shared" si="14"/>
        <v>0</v>
      </c>
      <c r="BF21" s="26">
        <f t="shared" si="14"/>
        <v>0</v>
      </c>
      <c r="BG21" s="27">
        <f t="shared" si="14"/>
        <v>1</v>
      </c>
      <c r="BH21" s="2" t="s">
        <v>77</v>
      </c>
      <c r="BL21" s="17">
        <f>$AY$14</f>
        <v>1</v>
      </c>
      <c r="BM21" s="17">
        <f>$AY$15</f>
        <v>1</v>
      </c>
      <c r="BN21" s="17">
        <f>$AY$16</f>
        <v>1</v>
      </c>
      <c r="BO21" s="17">
        <f>$AY$17</f>
        <v>0</v>
      </c>
      <c r="BP21" s="18">
        <f>$AY$18</f>
        <v>0</v>
      </c>
      <c r="BQ21" s="18">
        <f>$AY$19</f>
        <v>0</v>
      </c>
      <c r="BR21" s="18">
        <f>$AY$20</f>
        <v>0</v>
      </c>
      <c r="BS21" s="19">
        <f>$AY$21</f>
        <v>1</v>
      </c>
      <c r="BT21" s="2" t="s">
        <v>18</v>
      </c>
      <c r="BU21" s="17">
        <f>IF(_xlfn.XOR($BL$21,_xlfn.XOR($BU$10,$BU$11)),1,0)</f>
        <v>1</v>
      </c>
      <c r="BV21" s="17">
        <f>IF(_xlfn.XOR($BM$21,_xlfn.XOR($BV$10,$BV$11)),1,0)</f>
        <v>1</v>
      </c>
      <c r="BW21" s="17">
        <f>IF(_xlfn.XOR($BN$21,_xlfn.XOR($BW$10,$BW$11)),1,0)</f>
        <v>1</v>
      </c>
      <c r="BX21" s="17">
        <f>IF(_xlfn.XOR($BO$21,_xlfn.XOR($BX$10,$BX$11)),1,0)</f>
        <v>0</v>
      </c>
      <c r="BY21" s="18">
        <f>IF(_xlfn.XOR($BP$21,_xlfn.XOR($BY$10,$BY$11)),1,0)</f>
        <v>0</v>
      </c>
      <c r="BZ21" s="18">
        <f>IF(_xlfn.XOR($BQ$21,_xlfn.XOR($BZ$10,$BZ$11)),1,0)</f>
        <v>0</v>
      </c>
      <c r="CA21" s="18">
        <f>IF(_xlfn.XOR($BR$21,_xlfn.XOR($CA$10,$CA$11)),1,0)</f>
        <v>0</v>
      </c>
      <c r="CB21" s="19">
        <f>IF(_xlfn.XOR($BS$21,_xlfn.XOR($CB$10,$CB$11)),1,0)</f>
        <v>1</v>
      </c>
      <c r="CC21" s="46" t="str">
        <f t="shared" si="6"/>
        <v>87</v>
      </c>
      <c r="CD21" s="47"/>
      <c r="CE21" s="19">
        <f>IF(_xlfn.XOR(_xlfn.XOR(_xlfn.XOR(_xlfn.XOR(_xlfn.XOR(_xlfn.XOR($BU$21,$BV$21),$BW$21),$BX$21),$BY$21),$BZ$21),$CA$21),1,0)</f>
        <v>1</v>
      </c>
      <c r="CF21" s="2" t="str">
        <f t="shared" si="7"/>
        <v>OK</v>
      </c>
      <c r="DI21" s="48"/>
      <c r="DJ21" s="48"/>
      <c r="DK21" s="48"/>
      <c r="DL21" s="48"/>
      <c r="DM21" s="48"/>
      <c r="DN21" s="48"/>
      <c r="DO21" s="48"/>
      <c r="DP21" s="48"/>
      <c r="DQ21" s="48"/>
      <c r="DR21" s="48"/>
      <c r="DS21" s="48"/>
      <c r="DT21" s="48"/>
      <c r="DU21" s="48"/>
      <c r="DV21" s="50"/>
      <c r="DW21" s="50"/>
      <c r="DX21" s="50"/>
      <c r="DY21" s="50"/>
      <c r="DZ21" s="50"/>
      <c r="EA21" s="51" t="s">
        <v>82</v>
      </c>
      <c r="EB21" s="50">
        <f>errpos(HEX2DEC(EB$20),HEX2DEC($O$18),HEX2DEC($P$18),HEX2DEC($Q$18),HEX2DEC($R$18),HEX2DEC($S$18),HEX2DEC($T$18),HEX2DEC($U$18),HEX2DEC($V$18))</f>
        <v>0</v>
      </c>
      <c r="EC21" s="50">
        <f t="shared" ref="EC21:EQ21" si="15">errpos(HEX2DEC(EC$20),HEX2DEC($O$18),HEX2DEC($P$18),HEX2DEC($Q$18),HEX2DEC($R$18),HEX2DEC($S$18),HEX2DEC($T$18),HEX2DEC($U$18),HEX2DEC($V$18))</f>
        <v>0</v>
      </c>
      <c r="ED21" s="50">
        <f t="shared" si="15"/>
        <v>0</v>
      </c>
      <c r="EE21" s="50">
        <f t="shared" si="15"/>
        <v>0</v>
      </c>
      <c r="EF21" s="50">
        <f t="shared" si="15"/>
        <v>0</v>
      </c>
      <c r="EG21" s="50">
        <f t="shared" si="15"/>
        <v>0</v>
      </c>
      <c r="EH21" s="50">
        <f t="shared" si="15"/>
        <v>0</v>
      </c>
      <c r="EI21" s="50">
        <f t="shared" si="15"/>
        <v>0</v>
      </c>
      <c r="EJ21" s="50">
        <f t="shared" si="15"/>
        <v>0</v>
      </c>
      <c r="EK21" s="50">
        <f t="shared" si="15"/>
        <v>0</v>
      </c>
      <c r="EL21" s="50">
        <f t="shared" si="15"/>
        <v>0</v>
      </c>
      <c r="EM21" s="50">
        <f t="shared" si="15"/>
        <v>0</v>
      </c>
      <c r="EN21" s="50">
        <f t="shared" si="15"/>
        <v>0</v>
      </c>
      <c r="EO21" s="50">
        <f t="shared" si="15"/>
        <v>0</v>
      </c>
      <c r="EP21" s="50">
        <f t="shared" si="15"/>
        <v>0</v>
      </c>
      <c r="EQ21" s="50">
        <f t="shared" si="15"/>
        <v>0</v>
      </c>
      <c r="ER21" s="50"/>
    </row>
    <row r="22" spans="2:148" ht="12.75" thickTop="1" thickBot="1" x14ac:dyDescent="0.2">
      <c r="O22" s="2" t="s">
        <v>56</v>
      </c>
      <c r="AL22" s="17">
        <v>0</v>
      </c>
      <c r="AM22" s="17">
        <v>0</v>
      </c>
      <c r="AN22" s="17">
        <v>0</v>
      </c>
      <c r="AO22" s="17">
        <v>1</v>
      </c>
      <c r="AP22" s="4" t="str">
        <f t="shared" si="5"/>
        <v>8</v>
      </c>
      <c r="AR22" s="4" t="str">
        <f>DEC2HEX(1*AR14+2*AR15+4*AR16+8*AR17+16*AR18+32*AR19+64*AR20+128*AR21,2)</f>
        <v>00</v>
      </c>
      <c r="AS22" s="4" t="str">
        <f t="shared" ref="AS22:BG22" si="16">DEC2HEX(1*AS14+2*AS15+4*AS16+8*AS17+16*AS18+32*AS19+64*AS20+128*AS21,2)</f>
        <v>B1</v>
      </c>
      <c r="AT22" s="4" t="str">
        <f t="shared" si="16"/>
        <v>E2</v>
      </c>
      <c r="AU22" s="4" t="str">
        <f t="shared" si="16"/>
        <v>53</v>
      </c>
      <c r="AV22" s="4" t="str">
        <f t="shared" si="16"/>
        <v>D4</v>
      </c>
      <c r="AW22" s="4" t="str">
        <f t="shared" si="16"/>
        <v>65</v>
      </c>
      <c r="AX22" s="4" t="str">
        <f t="shared" si="16"/>
        <v>36</v>
      </c>
      <c r="AY22" s="4" t="str">
        <f t="shared" si="16"/>
        <v>87</v>
      </c>
      <c r="AZ22" s="4" t="str">
        <f t="shared" si="16"/>
        <v>78</v>
      </c>
      <c r="BA22" s="4" t="str">
        <f t="shared" si="16"/>
        <v>C9</v>
      </c>
      <c r="BB22" s="4" t="str">
        <f t="shared" si="16"/>
        <v>9A</v>
      </c>
      <c r="BC22" s="4" t="str">
        <f t="shared" si="16"/>
        <v>2B</v>
      </c>
      <c r="BD22" s="4" t="str">
        <f t="shared" si="16"/>
        <v>AC</v>
      </c>
      <c r="BE22" s="4" t="str">
        <f t="shared" si="16"/>
        <v>1D</v>
      </c>
      <c r="BF22" s="4" t="str">
        <f t="shared" si="16"/>
        <v>4E</v>
      </c>
      <c r="BG22" s="4" t="str">
        <f t="shared" si="16"/>
        <v>FF</v>
      </c>
      <c r="BL22" s="17">
        <f>$AZ$14</f>
        <v>0</v>
      </c>
      <c r="BM22" s="17">
        <f>$AZ$15</f>
        <v>0</v>
      </c>
      <c r="BN22" s="17">
        <f>$AZ$16</f>
        <v>0</v>
      </c>
      <c r="BO22" s="17">
        <f>$AZ$17</f>
        <v>1</v>
      </c>
      <c r="BP22" s="18">
        <f>$AZ$18</f>
        <v>1</v>
      </c>
      <c r="BQ22" s="18">
        <f>$AZ$19</f>
        <v>1</v>
      </c>
      <c r="BR22" s="18">
        <f>$AZ$20</f>
        <v>1</v>
      </c>
      <c r="BS22" s="19">
        <f>$AZ$21</f>
        <v>0</v>
      </c>
      <c r="BT22" s="2" t="s">
        <v>18</v>
      </c>
      <c r="BU22" s="17">
        <f>IF(_xlfn.XOR($BL$22,_xlfn.XOR($BU$10,$BU$11)),1,0)</f>
        <v>0</v>
      </c>
      <c r="BV22" s="17">
        <f>IF(_xlfn.XOR($BM$22,_xlfn.XOR($BV$10,$BV$11)),1,0)</f>
        <v>0</v>
      </c>
      <c r="BW22" s="17">
        <f>IF(_xlfn.XOR($BN$22,_xlfn.XOR($BW$10,$BW$11)),1,0)</f>
        <v>0</v>
      </c>
      <c r="BX22" s="17">
        <f>IF(_xlfn.XOR($BO$22,_xlfn.XOR($BX$10,$BX$11)),1,0)</f>
        <v>1</v>
      </c>
      <c r="BY22" s="18">
        <f>IF(_xlfn.XOR($BP$22,_xlfn.XOR($BY$10,$BY$11)),1,0)</f>
        <v>1</v>
      </c>
      <c r="BZ22" s="18">
        <f>IF(_xlfn.XOR($BQ$22,_xlfn.XOR($BZ$10,$BZ$11)),1,0)</f>
        <v>1</v>
      </c>
      <c r="CA22" s="18">
        <f>IF(_xlfn.XOR($BR$22,_xlfn.XOR($CA$10,$CA$11)),1,0)</f>
        <v>1</v>
      </c>
      <c r="CB22" s="19">
        <f>IF(_xlfn.XOR($BS$22,_xlfn.XOR($CB$10,$CB$11)),1,0)</f>
        <v>0</v>
      </c>
      <c r="CC22" s="46" t="str">
        <f t="shared" si="6"/>
        <v>78</v>
      </c>
      <c r="CD22" s="47"/>
      <c r="CE22" s="19">
        <f>IF(_xlfn.XOR(_xlfn.XOR(_xlfn.XOR(_xlfn.XOR(_xlfn.XOR(_xlfn.XOR($BU$22,$BV$22),$BW$22),$BX$22),$BY$22),$BZ$22),$CA$22),1,0)</f>
        <v>0</v>
      </c>
      <c r="CF22" s="2" t="str">
        <f t="shared" si="7"/>
        <v>OK</v>
      </c>
      <c r="DI22" s="48"/>
      <c r="DJ22" s="48"/>
      <c r="DK22" s="48"/>
      <c r="DL22" s="48"/>
      <c r="DM22" s="48"/>
      <c r="DN22" s="48"/>
      <c r="DO22" s="48"/>
      <c r="DP22" s="48"/>
      <c r="DQ22" s="48"/>
      <c r="DR22" s="48"/>
      <c r="DS22" s="48"/>
      <c r="DT22" s="48"/>
      <c r="DU22" s="48"/>
      <c r="DV22" s="50"/>
      <c r="DW22" s="50"/>
      <c r="DX22" s="50"/>
      <c r="DY22" s="50"/>
      <c r="DZ22" s="50"/>
      <c r="EA22" s="51" t="s">
        <v>93</v>
      </c>
      <c r="EB22" s="52" t="str">
        <f>IF(isNotAbleCollect(HEX2DEC(EB20),EB21),"×","-")</f>
        <v>-</v>
      </c>
      <c r="EC22" s="52" t="str">
        <f t="shared" ref="EC22:EQ22" si="17">IF(isNotAbleCollect(HEX2DEC(EC20),EC21),"×","-")</f>
        <v>-</v>
      </c>
      <c r="ED22" s="52" t="str">
        <f t="shared" si="17"/>
        <v>-</v>
      </c>
      <c r="EE22" s="52" t="str">
        <f t="shared" si="17"/>
        <v>-</v>
      </c>
      <c r="EF22" s="52" t="str">
        <f t="shared" si="17"/>
        <v>-</v>
      </c>
      <c r="EG22" s="52" t="str">
        <f t="shared" si="17"/>
        <v>-</v>
      </c>
      <c r="EH22" s="52" t="str">
        <f t="shared" si="17"/>
        <v>-</v>
      </c>
      <c r="EI22" s="52" t="str">
        <f t="shared" si="17"/>
        <v>-</v>
      </c>
      <c r="EJ22" s="52" t="str">
        <f t="shared" si="17"/>
        <v>-</v>
      </c>
      <c r="EK22" s="52" t="str">
        <f t="shared" si="17"/>
        <v>-</v>
      </c>
      <c r="EL22" s="52" t="str">
        <f t="shared" si="17"/>
        <v>-</v>
      </c>
      <c r="EM22" s="52" t="str">
        <f t="shared" si="17"/>
        <v>-</v>
      </c>
      <c r="EN22" s="52" t="str">
        <f t="shared" si="17"/>
        <v>-</v>
      </c>
      <c r="EO22" s="52" t="str">
        <f t="shared" si="17"/>
        <v>-</v>
      </c>
      <c r="EP22" s="52" t="str">
        <f t="shared" si="17"/>
        <v>-</v>
      </c>
      <c r="EQ22" s="52" t="str">
        <f t="shared" si="17"/>
        <v>-</v>
      </c>
      <c r="ER22" s="50"/>
    </row>
    <row r="23" spans="2:148" ht="15" thickTop="1" thickBot="1" x14ac:dyDescent="0.2">
      <c r="AL23" s="17">
        <v>1</v>
      </c>
      <c r="AM23" s="17">
        <v>0</v>
      </c>
      <c r="AN23" s="17">
        <v>0</v>
      </c>
      <c r="AO23" s="17">
        <v>1</v>
      </c>
      <c r="AP23" s="4" t="str">
        <f t="shared" si="5"/>
        <v>9</v>
      </c>
      <c r="AR23" s="2" t="s">
        <v>39</v>
      </c>
      <c r="BL23" s="17">
        <f>$BA$14</f>
        <v>1</v>
      </c>
      <c r="BM23" s="17">
        <f>$BA$15</f>
        <v>0</v>
      </c>
      <c r="BN23" s="17">
        <f>$BA$16</f>
        <v>0</v>
      </c>
      <c r="BO23" s="17">
        <f>$BA$17</f>
        <v>1</v>
      </c>
      <c r="BP23" s="18">
        <f>$BA$18</f>
        <v>0</v>
      </c>
      <c r="BQ23" s="18">
        <f>$BA$19</f>
        <v>0</v>
      </c>
      <c r="BR23" s="18">
        <f>$BA$20</f>
        <v>1</v>
      </c>
      <c r="BS23" s="19">
        <f>$BA$21</f>
        <v>1</v>
      </c>
      <c r="BT23" s="2" t="s">
        <v>18</v>
      </c>
      <c r="BU23" s="17">
        <f>IF(_xlfn.XOR($BL$23,_xlfn.XOR($BU$10,$BU$11)),1,0)</f>
        <v>1</v>
      </c>
      <c r="BV23" s="17">
        <f>IF(_xlfn.XOR($BM$23,_xlfn.XOR($BV$10,$BV$11)),1,0)</f>
        <v>0</v>
      </c>
      <c r="BW23" s="17">
        <f>IF(_xlfn.XOR($BN$23,_xlfn.XOR($BW$10,$BW$11)),1,0)</f>
        <v>0</v>
      </c>
      <c r="BX23" s="17">
        <f>IF(_xlfn.XOR($BO$23,_xlfn.XOR($BX$10,$BX$11)),1,0)</f>
        <v>1</v>
      </c>
      <c r="BY23" s="18">
        <f>IF(_xlfn.XOR($BP$23,_xlfn.XOR($BY$10,$BY$11)),1,0)</f>
        <v>0</v>
      </c>
      <c r="BZ23" s="18">
        <f>IF(_xlfn.XOR($BQ$23,_xlfn.XOR($BZ$10,$BZ$11)),1,0)</f>
        <v>0</v>
      </c>
      <c r="CA23" s="18">
        <f>IF(_xlfn.XOR($BR$23,_xlfn.XOR($CA$10,$CA$11)),1,0)</f>
        <v>1</v>
      </c>
      <c r="CB23" s="19">
        <f>IF(_xlfn.XOR($BS$23,_xlfn.XOR($CB$10,$CB$11)),1,0)</f>
        <v>1</v>
      </c>
      <c r="CC23" s="46" t="str">
        <f t="shared" si="6"/>
        <v>C9</v>
      </c>
      <c r="CD23" s="47"/>
      <c r="CE23" s="19">
        <f>IF(_xlfn.XOR(_xlfn.XOR(_xlfn.XOR(_xlfn.XOR(_xlfn.XOR(_xlfn.XOR($BU$23,$BV$23),$BW$23),$BX$23),$BY$23),$BZ$23),$CA$23),1,0)</f>
        <v>1</v>
      </c>
      <c r="CF23" s="2" t="str">
        <f t="shared" si="7"/>
        <v>OK</v>
      </c>
      <c r="CJ23" s="2" t="s">
        <v>84</v>
      </c>
      <c r="DQ23" s="48"/>
      <c r="DR23" s="48"/>
      <c r="DS23" s="48"/>
      <c r="DT23" s="48"/>
      <c r="DU23" s="48"/>
      <c r="DV23" s="50"/>
      <c r="DW23" s="50"/>
      <c r="DX23" s="50"/>
      <c r="DY23" s="50"/>
      <c r="DZ23" s="50"/>
      <c r="EA23" s="51" t="s">
        <v>91</v>
      </c>
      <c r="EB23" s="51" t="str">
        <f>DEC2HEX(collectValue(HEX2DEC(EB19),HEX2DEC(EB21)),1)</f>
        <v>0</v>
      </c>
      <c r="EC23" s="51" t="str">
        <f>DEC2HEX(collectValue(HEX2DEC(EC19),HEX2DEC(EC21)),1)</f>
        <v>1</v>
      </c>
      <c r="ED23" s="51" t="str">
        <f>DEC2HEX(collectValue(HEX2DEC(ED19),HEX2DEC(ED21)),1)</f>
        <v>2</v>
      </c>
      <c r="EE23" s="51" t="str">
        <f>DEC2HEX(collectValue(HEX2DEC(EE19),HEX2DEC(EE21)),1)</f>
        <v>3</v>
      </c>
      <c r="EF23" s="51" t="str">
        <f>DEC2HEX(collectValue(HEX2DEC(EF19),HEX2DEC(EF21)),1)</f>
        <v>4</v>
      </c>
      <c r="EG23" s="51" t="str">
        <f>DEC2HEX(collectValue(HEX2DEC(EG19),HEX2DEC(EG21)),1)</f>
        <v>5</v>
      </c>
      <c r="EH23" s="51" t="str">
        <f>DEC2HEX(collectValue(HEX2DEC(EH19),HEX2DEC(EH21)),1)</f>
        <v>6</v>
      </c>
      <c r="EI23" s="51" t="str">
        <f>DEC2HEX(collectValue(HEX2DEC(EI19),HEX2DEC(EI21)),1)</f>
        <v>7</v>
      </c>
      <c r="EJ23" s="51" t="str">
        <f>DEC2HEX(collectValue(HEX2DEC(EJ19),HEX2DEC(EJ21)),1)</f>
        <v>8</v>
      </c>
      <c r="EK23" s="51" t="str">
        <f>DEC2HEX(collectValue(HEX2DEC(EK19),HEX2DEC(EK21)),1)</f>
        <v>9</v>
      </c>
      <c r="EL23" s="51" t="str">
        <f>DEC2HEX(collectValue(HEX2DEC(EL19),HEX2DEC(EL21)),1)</f>
        <v>A</v>
      </c>
      <c r="EM23" s="51" t="str">
        <f>DEC2HEX(collectValue(HEX2DEC(EM19),HEX2DEC(EM21)),1)</f>
        <v>B</v>
      </c>
      <c r="EN23" s="51" t="str">
        <f>DEC2HEX(collectValue(HEX2DEC(EN19),HEX2DEC(EN21)),1)</f>
        <v>C</v>
      </c>
      <c r="EO23" s="51" t="str">
        <f>DEC2HEX(collectValue(HEX2DEC(EO19),HEX2DEC(EO21)),1)</f>
        <v>D</v>
      </c>
      <c r="EP23" s="51" t="str">
        <f>DEC2HEX(collectValue(HEX2DEC(EP19),HEX2DEC(EP21)),1)</f>
        <v>E</v>
      </c>
      <c r="EQ23" s="51" t="str">
        <f>DEC2HEX(collectValue(HEX2DEC(EQ19),HEX2DEC(EQ21)),1)</f>
        <v>F</v>
      </c>
      <c r="ER23" s="50"/>
    </row>
    <row r="24" spans="2:148" ht="15" thickTop="1" thickBot="1" x14ac:dyDescent="0.2">
      <c r="B24" s="2" t="s">
        <v>40</v>
      </c>
      <c r="I24" s="2" t="s">
        <v>57</v>
      </c>
      <c r="O24" s="2" t="s">
        <v>62</v>
      </c>
      <c r="Y24" s="2" t="s">
        <v>41</v>
      </c>
      <c r="AE24" s="2" t="s">
        <v>43</v>
      </c>
      <c r="AL24" s="17">
        <v>0</v>
      </c>
      <c r="AM24" s="17">
        <v>1</v>
      </c>
      <c r="AN24" s="17">
        <v>0</v>
      </c>
      <c r="AO24" s="17">
        <v>1</v>
      </c>
      <c r="AP24" s="4" t="str">
        <f t="shared" si="5"/>
        <v>A</v>
      </c>
      <c r="BL24" s="17">
        <f>$BB$14</f>
        <v>0</v>
      </c>
      <c r="BM24" s="17">
        <f>$BB$15</f>
        <v>1</v>
      </c>
      <c r="BN24" s="17">
        <f>$BB$16</f>
        <v>0</v>
      </c>
      <c r="BO24" s="17">
        <f>$BB$17</f>
        <v>1</v>
      </c>
      <c r="BP24" s="18">
        <f>$BB$18</f>
        <v>1</v>
      </c>
      <c r="BQ24" s="18">
        <f>$BB$19</f>
        <v>0</v>
      </c>
      <c r="BR24" s="18">
        <f>$BB$20</f>
        <v>0</v>
      </c>
      <c r="BS24" s="19">
        <f>$BB$21</f>
        <v>1</v>
      </c>
      <c r="BT24" s="2" t="s">
        <v>18</v>
      </c>
      <c r="BU24" s="17">
        <f>IF(_xlfn.XOR($BL$24,_xlfn.XOR($BU$10,$BU$11)),1,0)</f>
        <v>0</v>
      </c>
      <c r="BV24" s="17">
        <f>IF(_xlfn.XOR($BM$24,_xlfn.XOR($BV$10,$BV$11)),1,0)</f>
        <v>1</v>
      </c>
      <c r="BW24" s="17">
        <f>IF(_xlfn.XOR($BN$24,_xlfn.XOR($BW$10,$BW$11)),1,0)</f>
        <v>0</v>
      </c>
      <c r="BX24" s="17">
        <f>IF(_xlfn.XOR($BO$24,_xlfn.XOR($BX$10,$BX$11)),1,0)</f>
        <v>1</v>
      </c>
      <c r="BY24" s="18">
        <f>IF(_xlfn.XOR($BP$24,_xlfn.XOR($BY$10,$BY$11)),1,0)</f>
        <v>1</v>
      </c>
      <c r="BZ24" s="18">
        <f>IF(_xlfn.XOR($BQ$24,_xlfn.XOR($BZ$10,$BZ$11)),1,0)</f>
        <v>0</v>
      </c>
      <c r="CA24" s="18">
        <f>IF(_xlfn.XOR($BR$24,_xlfn.XOR($CA$10,$CA$11)),1,0)</f>
        <v>0</v>
      </c>
      <c r="CB24" s="19">
        <f>IF(_xlfn.XOR($BS$24,_xlfn.XOR($CB$10,$CB$11)),1,0)</f>
        <v>1</v>
      </c>
      <c r="CC24" s="46" t="str">
        <f t="shared" si="6"/>
        <v>9A</v>
      </c>
      <c r="CD24" s="47"/>
      <c r="CE24" s="19">
        <f>IF(_xlfn.XOR(_xlfn.XOR(_xlfn.XOR(_xlfn.XOR(_xlfn.XOR(_xlfn.XOR($BU$24,$BV$24),$BW$24),$BX$24),$BY$24),$BZ$24),$CA$24),1,0)</f>
        <v>1</v>
      </c>
      <c r="CF24" s="2" t="str">
        <f t="shared" si="7"/>
        <v>OK</v>
      </c>
      <c r="CJ24" s="2" t="s">
        <v>85</v>
      </c>
      <c r="DQ24" s="48"/>
      <c r="DR24" s="48"/>
      <c r="DS24" s="48"/>
      <c r="DT24" s="48"/>
      <c r="DU24" s="48"/>
      <c r="DV24" s="50"/>
      <c r="DW24" s="50"/>
      <c r="DX24" s="50"/>
      <c r="DY24" s="50"/>
      <c r="DZ24" s="50"/>
      <c r="EA24" s="50"/>
      <c r="EB24" s="50"/>
      <c r="EC24" s="50"/>
      <c r="ED24" s="50"/>
      <c r="EE24" s="50"/>
      <c r="EF24" s="50"/>
      <c r="EG24" s="50"/>
      <c r="EH24" s="50"/>
      <c r="EI24" s="50"/>
      <c r="EJ24" s="50"/>
      <c r="EK24" s="50"/>
      <c r="EL24" s="50"/>
      <c r="EM24" s="50"/>
      <c r="EN24" s="50"/>
      <c r="EO24" s="50"/>
      <c r="EP24" s="50"/>
      <c r="EQ24" s="50"/>
      <c r="ER24" s="50"/>
    </row>
    <row r="25" spans="2:148" ht="12.75" thickTop="1" thickBot="1" x14ac:dyDescent="0.2">
      <c r="B25" s="5">
        <v>1</v>
      </c>
      <c r="C25" s="5">
        <v>0</v>
      </c>
      <c r="D25" s="5">
        <v>0</v>
      </c>
      <c r="E25" s="5">
        <v>0</v>
      </c>
      <c r="I25" s="36">
        <f>B14</f>
        <v>1</v>
      </c>
      <c r="J25" s="36">
        <f>B15</f>
        <v>1</v>
      </c>
      <c r="K25" s="36">
        <f>B16</f>
        <v>0</v>
      </c>
      <c r="O25" s="5">
        <f t="shared" ref="O25:R28" si="18">B25</f>
        <v>1</v>
      </c>
      <c r="P25" s="5">
        <f t="shared" si="18"/>
        <v>0</v>
      </c>
      <c r="Q25" s="5">
        <f t="shared" si="18"/>
        <v>0</v>
      </c>
      <c r="R25" s="5">
        <f t="shared" si="18"/>
        <v>0</v>
      </c>
      <c r="S25" s="36">
        <f t="shared" ref="S25:U28" si="19">I25</f>
        <v>1</v>
      </c>
      <c r="T25" s="36">
        <f t="shared" si="19"/>
        <v>1</v>
      </c>
      <c r="U25" s="36">
        <f t="shared" si="19"/>
        <v>0</v>
      </c>
      <c r="Y25" s="36">
        <f>O14</f>
        <v>1</v>
      </c>
      <c r="Z25" s="36">
        <f>O15</f>
        <v>1</v>
      </c>
      <c r="AA25" s="36">
        <f>O16</f>
        <v>0</v>
      </c>
      <c r="AB25" s="37">
        <v>1</v>
      </c>
      <c r="AE25" s="6">
        <f>IF(_xlfn.XOR(_xlfn.XOR(_xlfn.XOR(_xlfn.XOR(_xlfn.XOR(_xlfn.XOR($O$25*$Y$25,$P$25*$Y$26),$Q$25*$Y$27),$R$25*$Y$28),$S$25*$Y$29),$T$25*$Y$30),$U$25*$Y$31),1,0)</f>
        <v>0</v>
      </c>
      <c r="AF25" s="6">
        <f>IF(_xlfn.XOR(_xlfn.XOR(_xlfn.XOR(_xlfn.XOR(_xlfn.XOR(_xlfn.XOR($O$26*$Y$25,$P$26*$Y$26),$Q$26*$Y$27),$R$26*$Y$28),$S$26*$Y$29),$T$26*$Y$30),$U$26*$Y$31),1,0)</f>
        <v>0</v>
      </c>
      <c r="AG25" s="6">
        <f>IF(_xlfn.XOR(_xlfn.XOR(_xlfn.XOR(_xlfn.XOR(_xlfn.XOR(_xlfn.XOR($O$27*$Y$25,$P$27*$Y$26),$Q$27*$Y$27),$R$27*$Y$28),$S$27*$Y$29),$T$27*$Y$30),$U$27*$Y$31),1,0)</f>
        <v>0</v>
      </c>
      <c r="AH25" s="6">
        <f>IF(_xlfn.XOR(_xlfn.XOR(_xlfn.XOR(_xlfn.XOR(_xlfn.XOR(_xlfn.XOR($O$28*$Y$25,$P$28*$Y$26),$Q$28*$Y$27),$R$28*$Y$28),$S$28*$Y$29),$T$28*$Y$30),$U$28*$Y$31),1,0)</f>
        <v>0</v>
      </c>
      <c r="AI25" s="2">
        <f>SUM(AE25:AH25)</f>
        <v>0</v>
      </c>
      <c r="AL25" s="17">
        <v>1</v>
      </c>
      <c r="AM25" s="17">
        <v>1</v>
      </c>
      <c r="AN25" s="17">
        <v>0</v>
      </c>
      <c r="AO25" s="17">
        <v>1</v>
      </c>
      <c r="AP25" s="4" t="str">
        <f t="shared" si="5"/>
        <v>B</v>
      </c>
      <c r="BL25" s="17">
        <f>$BC$14</f>
        <v>1</v>
      </c>
      <c r="BM25" s="17">
        <f>$BC$15</f>
        <v>1</v>
      </c>
      <c r="BN25" s="17">
        <f>$BC$16</f>
        <v>0</v>
      </c>
      <c r="BO25" s="17">
        <f>$BC$17</f>
        <v>1</v>
      </c>
      <c r="BP25" s="18">
        <f>$BC$18</f>
        <v>0</v>
      </c>
      <c r="BQ25" s="18">
        <f>$BC$19</f>
        <v>1</v>
      </c>
      <c r="BR25" s="18">
        <f>$BC$20</f>
        <v>0</v>
      </c>
      <c r="BS25" s="19">
        <f>$BC$21</f>
        <v>0</v>
      </c>
      <c r="BT25" s="2" t="s">
        <v>18</v>
      </c>
      <c r="BU25" s="17">
        <f>IF(_xlfn.XOR($BL$25,_xlfn.XOR($BU$10,$BU$11)),1,0)</f>
        <v>1</v>
      </c>
      <c r="BV25" s="17">
        <f>IF(_xlfn.XOR($BM$25,_xlfn.XOR($BV$10,$BV$11)),1,0)</f>
        <v>1</v>
      </c>
      <c r="BW25" s="17">
        <f>IF(_xlfn.XOR($BN$25,_xlfn.XOR($BW$10,$BW$11)),1,0)</f>
        <v>0</v>
      </c>
      <c r="BX25" s="17">
        <f>IF(_xlfn.XOR($BO$25,_xlfn.XOR($BX$10,$BX$11)),1,0)</f>
        <v>1</v>
      </c>
      <c r="BY25" s="18">
        <f>IF(_xlfn.XOR($BP$25,_xlfn.XOR($BY$10,$BY$11)),1,0)</f>
        <v>0</v>
      </c>
      <c r="BZ25" s="18">
        <f>IF(_xlfn.XOR($BQ$25,_xlfn.XOR($BZ$10,$BZ$11)),1,0)</f>
        <v>1</v>
      </c>
      <c r="CA25" s="18">
        <f>IF(_xlfn.XOR($BR$25,_xlfn.XOR($CA$10,$CA$11)),1,0)</f>
        <v>0</v>
      </c>
      <c r="CB25" s="19">
        <f>IF(_xlfn.XOR($BS$25,_xlfn.XOR($CB$10,$CB$11)),1,0)</f>
        <v>0</v>
      </c>
      <c r="CC25" s="46" t="str">
        <f t="shared" si="6"/>
        <v>2B</v>
      </c>
      <c r="CD25" s="47"/>
      <c r="CE25" s="19">
        <f>IF(_xlfn.XOR(_xlfn.XOR(_xlfn.XOR(_xlfn.XOR(_xlfn.XOR(_xlfn.XOR($BU$25,$BV$25),$BW$25),$BX$25),$BY$25),$BZ$25),$CA$25),1,0)</f>
        <v>0</v>
      </c>
      <c r="CF25" s="2" t="str">
        <f t="shared" si="7"/>
        <v>OK</v>
      </c>
      <c r="CG25" s="28"/>
      <c r="CH25" s="28"/>
      <c r="CJ25" s="2" t="s">
        <v>92</v>
      </c>
    </row>
    <row r="26" spans="2:148" ht="12.75" thickTop="1" thickBot="1" x14ac:dyDescent="0.2">
      <c r="B26" s="5">
        <v>0</v>
      </c>
      <c r="C26" s="5">
        <v>1</v>
      </c>
      <c r="D26" s="5">
        <v>0</v>
      </c>
      <c r="E26" s="5">
        <v>0</v>
      </c>
      <c r="I26" s="36">
        <f>C14</f>
        <v>0</v>
      </c>
      <c r="J26" s="36">
        <f>C15</f>
        <v>1</v>
      </c>
      <c r="K26" s="36">
        <f>C16</f>
        <v>1</v>
      </c>
      <c r="O26" s="5">
        <f t="shared" si="18"/>
        <v>0</v>
      </c>
      <c r="P26" s="5">
        <f t="shared" si="18"/>
        <v>1</v>
      </c>
      <c r="Q26" s="5">
        <f t="shared" si="18"/>
        <v>0</v>
      </c>
      <c r="R26" s="5">
        <f t="shared" si="18"/>
        <v>0</v>
      </c>
      <c r="S26" s="36">
        <f t="shared" si="19"/>
        <v>0</v>
      </c>
      <c r="T26" s="36">
        <f t="shared" si="19"/>
        <v>1</v>
      </c>
      <c r="U26" s="36">
        <f t="shared" si="19"/>
        <v>1</v>
      </c>
      <c r="Y26" s="36">
        <f>P14</f>
        <v>0</v>
      </c>
      <c r="Z26" s="36">
        <f>P15</f>
        <v>1</v>
      </c>
      <c r="AA26" s="36">
        <f>P16</f>
        <v>1</v>
      </c>
      <c r="AB26" s="37">
        <v>1</v>
      </c>
      <c r="AE26" s="6">
        <f>IF(_xlfn.XOR(_xlfn.XOR(_xlfn.XOR(_xlfn.XOR(_xlfn.XOR(_xlfn.XOR($O$25*$Z$25,$P$25*$Z$26),$Q$25*$Z$27),$R$25*$Z$28),$S$25*$Z$29),$T$25*$Z$30),$U$25*$Z$31),1,0)</f>
        <v>0</v>
      </c>
      <c r="AF26" s="6">
        <f>IF(_xlfn.XOR(_xlfn.XOR(_xlfn.XOR(_xlfn.XOR(_xlfn.XOR(_xlfn.XOR($O$26*$Z$25,$P$26*$Z$26),$Q$26*$Z$27),$R$26*$Z$28),$S$26*$Z$29),$T$26*$Z$30),$U$26*$Z$31),1,0)</f>
        <v>0</v>
      </c>
      <c r="AG26" s="6">
        <f>IF(_xlfn.XOR(_xlfn.XOR(_xlfn.XOR(_xlfn.XOR(_xlfn.XOR(_xlfn.XOR($O$27*$Z$25,$P$27*$Z$26),$Q$27*$Z$27),$R$27*$Z$28),$S$27*$Z$29),$T$27*$Z$30),$U$27*$Z$31),1,0)</f>
        <v>0</v>
      </c>
      <c r="AH26" s="6">
        <f>IF(_xlfn.XOR(_xlfn.XOR(_xlfn.XOR(_xlfn.XOR(_xlfn.XOR(_xlfn.XOR($O$28*$Z$25,$P$28*$Z$26),$Q$28*$Z$27),$R$28*$Z$28),$S$28*$Z$29),$T$28*$Z$30),$U$28*$Z$31),1,0)</f>
        <v>0</v>
      </c>
      <c r="AI26" s="2">
        <f t="shared" ref="AI26:AI27" si="20">SUM(AE26:AH26)</f>
        <v>0</v>
      </c>
      <c r="AL26" s="17">
        <v>0</v>
      </c>
      <c r="AM26" s="17">
        <v>0</v>
      </c>
      <c r="AN26" s="17">
        <v>1</v>
      </c>
      <c r="AO26" s="17">
        <v>1</v>
      </c>
      <c r="AP26" s="4" t="str">
        <f t="shared" si="5"/>
        <v>C</v>
      </c>
      <c r="BL26" s="17">
        <f>$BD$14</f>
        <v>0</v>
      </c>
      <c r="BM26" s="17">
        <f>$BD$15</f>
        <v>0</v>
      </c>
      <c r="BN26" s="17">
        <f>$BD$16</f>
        <v>1</v>
      </c>
      <c r="BO26" s="17">
        <f>$BD$17</f>
        <v>1</v>
      </c>
      <c r="BP26" s="18">
        <f>$BD$18</f>
        <v>0</v>
      </c>
      <c r="BQ26" s="18">
        <f>$BD$19</f>
        <v>1</v>
      </c>
      <c r="BR26" s="18">
        <f>$BD$20</f>
        <v>0</v>
      </c>
      <c r="BS26" s="19">
        <f>$BD$21</f>
        <v>1</v>
      </c>
      <c r="BT26" s="2" t="s">
        <v>18</v>
      </c>
      <c r="BU26" s="17">
        <f>IF(_xlfn.XOR($BL$26,_xlfn.XOR($BU$10,$BU$11)),1,0)</f>
        <v>0</v>
      </c>
      <c r="BV26" s="17">
        <f>IF(_xlfn.XOR($BM$26,_xlfn.XOR($BV$10,$BV$11)),1,0)</f>
        <v>0</v>
      </c>
      <c r="BW26" s="17">
        <f>IF(_xlfn.XOR($BN$26,_xlfn.XOR($BW$10,$BW$11)),1,0)</f>
        <v>1</v>
      </c>
      <c r="BX26" s="17">
        <f>IF(_xlfn.XOR($BO$26,_xlfn.XOR($BX$10,$BX$11)),1,0)</f>
        <v>1</v>
      </c>
      <c r="BY26" s="18">
        <f>IF(_xlfn.XOR($BP$26,_xlfn.XOR($BY$10,$BY$11)),1,0)</f>
        <v>0</v>
      </c>
      <c r="BZ26" s="18">
        <f>IF(_xlfn.XOR($BQ$26,_xlfn.XOR($BZ$10,$BZ$11)),1,0)</f>
        <v>1</v>
      </c>
      <c r="CA26" s="18">
        <f>IF(_xlfn.XOR($BR$26,_xlfn.XOR($CA$10,$CA$11)),1,0)</f>
        <v>0</v>
      </c>
      <c r="CB26" s="19">
        <f>IF(_xlfn.XOR($BS$26,_xlfn.XOR($CB$10,$CB$11)),1,0)</f>
        <v>1</v>
      </c>
      <c r="CC26" s="46" t="str">
        <f t="shared" si="6"/>
        <v>AC</v>
      </c>
      <c r="CD26" s="47"/>
      <c r="CE26" s="19">
        <f>IF(_xlfn.XOR(_xlfn.XOR(_xlfn.XOR(_xlfn.XOR(_xlfn.XOR(_xlfn.XOR($BU$26,$BV$26),$BW$26),$BX$26),$BY$26),$BZ$26),$CA$26),1,0)</f>
        <v>1</v>
      </c>
      <c r="CF26" s="2" t="str">
        <f t="shared" si="7"/>
        <v>OK</v>
      </c>
      <c r="CG26" s="28"/>
      <c r="CH26" s="28"/>
      <c r="CJ26" s="2" t="s">
        <v>86</v>
      </c>
    </row>
    <row r="27" spans="2:148" ht="12.75" thickTop="1" thickBot="1" x14ac:dyDescent="0.2">
      <c r="B27" s="5">
        <v>0</v>
      </c>
      <c r="C27" s="5">
        <v>0</v>
      </c>
      <c r="D27" s="5">
        <v>1</v>
      </c>
      <c r="E27" s="5">
        <v>0</v>
      </c>
      <c r="I27" s="36">
        <f>D14</f>
        <v>1</v>
      </c>
      <c r="J27" s="36">
        <f>D15</f>
        <v>0</v>
      </c>
      <c r="K27" s="36">
        <f>D16</f>
        <v>1</v>
      </c>
      <c r="O27" s="5">
        <f t="shared" si="18"/>
        <v>0</v>
      </c>
      <c r="P27" s="5">
        <f t="shared" si="18"/>
        <v>0</v>
      </c>
      <c r="Q27" s="5">
        <f t="shared" si="18"/>
        <v>1</v>
      </c>
      <c r="R27" s="5">
        <f t="shared" si="18"/>
        <v>0</v>
      </c>
      <c r="S27" s="36">
        <f t="shared" si="19"/>
        <v>1</v>
      </c>
      <c r="T27" s="36">
        <f t="shared" si="19"/>
        <v>0</v>
      </c>
      <c r="U27" s="36">
        <f t="shared" si="19"/>
        <v>1</v>
      </c>
      <c r="Y27" s="36">
        <f>Q14</f>
        <v>1</v>
      </c>
      <c r="Z27" s="36">
        <f>Q15</f>
        <v>0</v>
      </c>
      <c r="AA27" s="36">
        <f>Q16</f>
        <v>1</v>
      </c>
      <c r="AB27" s="37">
        <v>1</v>
      </c>
      <c r="AE27" s="6">
        <f>IF(_xlfn.XOR(_xlfn.XOR(_xlfn.XOR(_xlfn.XOR(_xlfn.XOR(_xlfn.XOR($O$25*$AA$25,$P$25*$AA$26),$Q$25*$AA$27),$R$25*$AA$28),$S$25*$AA$29),$T$25*$AA$30),$U$25*$AA$31),1,0)</f>
        <v>0</v>
      </c>
      <c r="AF27" s="6">
        <f>IF(_xlfn.XOR(_xlfn.XOR(_xlfn.XOR(_xlfn.XOR(_xlfn.XOR(_xlfn.XOR($O$26*$AA$25,$P$26*$AA$26),$Q$26*$AA$27),$R$26*$AA$28),$S$26*$AA$29),$T$26*$AA$30),$U$26*$AA$31),1,0)</f>
        <v>0</v>
      </c>
      <c r="AG27" s="6">
        <f>IF(_xlfn.XOR(_xlfn.XOR(_xlfn.XOR(_xlfn.XOR(_xlfn.XOR(_xlfn.XOR($O$27*$AA$25,$P$27*$AA$26),$Q$27*$AA$27),$R$27*$AA$28),$S$27*$AA$29),$T$27*$AA$30),$U$27*$AA$31),1,0)</f>
        <v>0</v>
      </c>
      <c r="AH27" s="6">
        <f>IF(_xlfn.XOR(_xlfn.XOR(_xlfn.XOR(_xlfn.XOR(_xlfn.XOR(_xlfn.XOR($O$28*$AA$25,$P$28*$AA$26),$Q$28*$AA$27),$R$28*$AA$28),$S$28*$AA$29),$T$28*$AA$30),$U$28*$AA$31),1,0)</f>
        <v>0</v>
      </c>
      <c r="AI27" s="2">
        <f t="shared" si="20"/>
        <v>0</v>
      </c>
      <c r="AL27" s="17">
        <v>1</v>
      </c>
      <c r="AM27" s="17">
        <v>0</v>
      </c>
      <c r="AN27" s="17">
        <v>1</v>
      </c>
      <c r="AO27" s="17">
        <v>1</v>
      </c>
      <c r="AP27" s="4" t="str">
        <f t="shared" si="5"/>
        <v>D</v>
      </c>
      <c r="BL27" s="17">
        <f>$BE$14</f>
        <v>1</v>
      </c>
      <c r="BM27" s="17">
        <f>$BE$15</f>
        <v>0</v>
      </c>
      <c r="BN27" s="17">
        <f>$BE$16</f>
        <v>1</v>
      </c>
      <c r="BO27" s="17">
        <f>$BE$17</f>
        <v>1</v>
      </c>
      <c r="BP27" s="18">
        <f>$BE$18</f>
        <v>1</v>
      </c>
      <c r="BQ27" s="18">
        <f>$BE$19</f>
        <v>0</v>
      </c>
      <c r="BR27" s="18">
        <f>$BE$20</f>
        <v>0</v>
      </c>
      <c r="BS27" s="19">
        <f>$BE$21</f>
        <v>0</v>
      </c>
      <c r="BT27" s="2" t="s">
        <v>18</v>
      </c>
      <c r="BU27" s="17">
        <f>IF(_xlfn.XOR($BL$27,_xlfn.XOR($BU$10,$BU$11)),1,0)</f>
        <v>1</v>
      </c>
      <c r="BV27" s="17">
        <f>IF(_xlfn.XOR($BM$27,_xlfn.XOR($BV$10,$BV$11)),1,0)</f>
        <v>0</v>
      </c>
      <c r="BW27" s="17">
        <f>IF(_xlfn.XOR($BN$27,_xlfn.XOR($BW$10,$BW$11)),1,0)</f>
        <v>1</v>
      </c>
      <c r="BX27" s="17">
        <f>IF(_xlfn.XOR($BO$27,_xlfn.XOR($BX$10,$BX$11)),1,0)</f>
        <v>1</v>
      </c>
      <c r="BY27" s="18">
        <f>IF(_xlfn.XOR($BP$27,_xlfn.XOR($BY$10,$BY$11)),1,0)</f>
        <v>1</v>
      </c>
      <c r="BZ27" s="18">
        <f>IF(_xlfn.XOR($BQ$27,_xlfn.XOR($BZ$10,$BZ$11)),1,0)</f>
        <v>0</v>
      </c>
      <c r="CA27" s="18">
        <f>IF(_xlfn.XOR($BR$27,_xlfn.XOR($CA$10,$CA$11)),1,0)</f>
        <v>0</v>
      </c>
      <c r="CB27" s="19">
        <f>IF(_xlfn.XOR($BS$27,_xlfn.XOR($CB$10,$CB$11)),1,0)</f>
        <v>0</v>
      </c>
      <c r="CC27" s="46" t="str">
        <f t="shared" si="6"/>
        <v>1D</v>
      </c>
      <c r="CD27" s="47"/>
      <c r="CE27" s="19">
        <f>IF(_xlfn.XOR(_xlfn.XOR(_xlfn.XOR(_xlfn.XOR(_xlfn.XOR(_xlfn.XOR($BU$27,$BV$27),$BW$27),$BX$27),$BY$27),$BZ$27),$CA$27),1,0)</f>
        <v>0</v>
      </c>
      <c r="CF27" s="2" t="str">
        <f t="shared" si="7"/>
        <v>OK</v>
      </c>
      <c r="CG27" s="28"/>
      <c r="CH27" s="28"/>
      <c r="CJ27" s="2" t="s">
        <v>28</v>
      </c>
    </row>
    <row r="28" spans="2:148" ht="12.75" thickTop="1" thickBot="1" x14ac:dyDescent="0.2">
      <c r="B28" s="5">
        <v>0</v>
      </c>
      <c r="C28" s="5">
        <v>0</v>
      </c>
      <c r="D28" s="5">
        <v>0</v>
      </c>
      <c r="E28" s="5">
        <v>1</v>
      </c>
      <c r="I28" s="36">
        <f>E14</f>
        <v>1</v>
      </c>
      <c r="J28" s="36">
        <f>E15</f>
        <v>1</v>
      </c>
      <c r="K28" s="36">
        <f>E16</f>
        <v>1</v>
      </c>
      <c r="O28" s="5">
        <f t="shared" si="18"/>
        <v>0</v>
      </c>
      <c r="P28" s="5">
        <f t="shared" si="18"/>
        <v>0</v>
      </c>
      <c r="Q28" s="5">
        <f t="shared" si="18"/>
        <v>0</v>
      </c>
      <c r="R28" s="5">
        <f t="shared" si="18"/>
        <v>1</v>
      </c>
      <c r="S28" s="36">
        <f t="shared" si="19"/>
        <v>1</v>
      </c>
      <c r="T28" s="36">
        <f t="shared" si="19"/>
        <v>1</v>
      </c>
      <c r="U28" s="36">
        <f t="shared" si="19"/>
        <v>1</v>
      </c>
      <c r="Y28" s="36">
        <f>R14</f>
        <v>1</v>
      </c>
      <c r="Z28" s="36">
        <f>R15</f>
        <v>1</v>
      </c>
      <c r="AA28" s="36">
        <f>R16</f>
        <v>1</v>
      </c>
      <c r="AB28" s="37">
        <v>1</v>
      </c>
      <c r="AE28" s="2">
        <f>SUM(AE25:AE27)</f>
        <v>0</v>
      </c>
      <c r="AF28" s="2">
        <f t="shared" ref="AF28:AI28" si="21">SUM(AF25:AF27)</f>
        <v>0</v>
      </c>
      <c r="AG28" s="2">
        <f t="shared" si="21"/>
        <v>0</v>
      </c>
      <c r="AH28" s="2">
        <f t="shared" si="21"/>
        <v>0</v>
      </c>
      <c r="AI28" s="2">
        <f t="shared" si="21"/>
        <v>0</v>
      </c>
      <c r="AL28" s="17">
        <v>0</v>
      </c>
      <c r="AM28" s="17">
        <v>1</v>
      </c>
      <c r="AN28" s="17">
        <v>1</v>
      </c>
      <c r="AO28" s="17">
        <v>1</v>
      </c>
      <c r="AP28" s="4" t="str">
        <f t="shared" si="5"/>
        <v>E</v>
      </c>
      <c r="BL28" s="17">
        <f>$BF$14</f>
        <v>0</v>
      </c>
      <c r="BM28" s="17">
        <f>$BF$15</f>
        <v>1</v>
      </c>
      <c r="BN28" s="17">
        <f>$BF$16</f>
        <v>1</v>
      </c>
      <c r="BO28" s="17">
        <f>$BF$17</f>
        <v>1</v>
      </c>
      <c r="BP28" s="18">
        <f>$BF$18</f>
        <v>0</v>
      </c>
      <c r="BQ28" s="18">
        <f>$BF$19</f>
        <v>0</v>
      </c>
      <c r="BR28" s="18">
        <f>$BF$20</f>
        <v>1</v>
      </c>
      <c r="BS28" s="19">
        <f>$BF$21</f>
        <v>0</v>
      </c>
      <c r="BT28" s="2" t="s">
        <v>18</v>
      </c>
      <c r="BU28" s="17">
        <f>IF(_xlfn.XOR($BL$28,_xlfn.XOR($BU$10,$BU$11)),1,0)</f>
        <v>0</v>
      </c>
      <c r="BV28" s="17">
        <f>IF(_xlfn.XOR($BM$28,_xlfn.XOR($BV$10,$BV$11)),1,0)</f>
        <v>1</v>
      </c>
      <c r="BW28" s="17">
        <f>IF(_xlfn.XOR($BN$28,_xlfn.XOR($BW$10,$BW$11)),1,0)</f>
        <v>1</v>
      </c>
      <c r="BX28" s="17">
        <f>IF(_xlfn.XOR($BO$28,_xlfn.XOR($BX$10,$BX$11)),1,0)</f>
        <v>1</v>
      </c>
      <c r="BY28" s="18">
        <f>IF(_xlfn.XOR($BP$28,_xlfn.XOR($BY$10,$BY$11)),1,0)</f>
        <v>0</v>
      </c>
      <c r="BZ28" s="18">
        <f>IF(_xlfn.XOR($BQ$28,_xlfn.XOR($BZ$10,$BZ$11)),1,0)</f>
        <v>0</v>
      </c>
      <c r="CA28" s="18">
        <f>IF(_xlfn.XOR($BR$28,_xlfn.XOR($CA$10,$CA$11)),1,0)</f>
        <v>1</v>
      </c>
      <c r="CB28" s="19">
        <f>IF(_xlfn.XOR($BS$28,_xlfn.XOR($CB$10,$CB$11)),1,0)</f>
        <v>0</v>
      </c>
      <c r="CC28" s="46" t="str">
        <f t="shared" si="6"/>
        <v>4E</v>
      </c>
      <c r="CD28" s="47"/>
      <c r="CE28" s="19">
        <f>IF(_xlfn.XOR(_xlfn.XOR(_xlfn.XOR(_xlfn.XOR(_xlfn.XOR(_xlfn.XOR($BU$28,$BV$28),$BW$28),$BX$28),$BY$28),$BZ$28),$CA$28),1,0)</f>
        <v>0</v>
      </c>
      <c r="CF28" s="2" t="str">
        <f t="shared" si="7"/>
        <v>OK</v>
      </c>
      <c r="CG28" s="28"/>
      <c r="CH28" s="28"/>
      <c r="CJ28" s="2" t="s">
        <v>29</v>
      </c>
    </row>
    <row r="29" spans="2:148" ht="12" thickTop="1" x14ac:dyDescent="0.15">
      <c r="B29" s="28"/>
      <c r="C29" s="28"/>
      <c r="D29" s="28"/>
      <c r="O29" s="20" t="str">
        <f>DEC2HEX(1*O25+2*O26+4*O27+8*O28,1)</f>
        <v>1</v>
      </c>
      <c r="P29" s="20" t="str">
        <f t="shared" ref="P29:U29" si="22">DEC2HEX(1*P25+2*P26+4*P27+8*P28,1)</f>
        <v>2</v>
      </c>
      <c r="Q29" s="20" t="str">
        <f t="shared" si="22"/>
        <v>4</v>
      </c>
      <c r="R29" s="20" t="str">
        <f t="shared" si="22"/>
        <v>8</v>
      </c>
      <c r="S29" s="20" t="str">
        <f t="shared" si="22"/>
        <v>D</v>
      </c>
      <c r="T29" s="20" t="str">
        <f t="shared" si="22"/>
        <v>B</v>
      </c>
      <c r="U29" s="20" t="str">
        <f t="shared" si="22"/>
        <v>E</v>
      </c>
      <c r="Y29" s="5">
        <f>S14</f>
        <v>1</v>
      </c>
      <c r="Z29" s="5">
        <f>S15</f>
        <v>0</v>
      </c>
      <c r="AA29" s="5">
        <f>S16</f>
        <v>0</v>
      </c>
      <c r="AB29" s="37">
        <v>1</v>
      </c>
      <c r="AE29" s="2" t="s">
        <v>33</v>
      </c>
      <c r="AL29" s="29">
        <v>1</v>
      </c>
      <c r="AM29" s="29">
        <v>1</v>
      </c>
      <c r="AN29" s="29">
        <v>1</v>
      </c>
      <c r="AO29" s="29">
        <v>1</v>
      </c>
      <c r="AP29" s="4" t="str">
        <f t="shared" si="5"/>
        <v>F</v>
      </c>
      <c r="BL29" s="29">
        <f>$BG$14</f>
        <v>1</v>
      </c>
      <c r="BM29" s="29">
        <f>$BG$15</f>
        <v>1</v>
      </c>
      <c r="BN29" s="29">
        <f>$BG$16</f>
        <v>1</v>
      </c>
      <c r="BO29" s="29">
        <f>$BG$17</f>
        <v>1</v>
      </c>
      <c r="BP29" s="30">
        <f>$BG$18</f>
        <v>1</v>
      </c>
      <c r="BQ29" s="30">
        <f>$BG$19</f>
        <v>1</v>
      </c>
      <c r="BR29" s="30">
        <f>$BG$20</f>
        <v>1</v>
      </c>
      <c r="BS29" s="31">
        <f>$BG$21</f>
        <v>1</v>
      </c>
      <c r="BT29" s="2" t="s">
        <v>18</v>
      </c>
      <c r="BU29" s="29">
        <f>IF(_xlfn.XOR($BL$29,_xlfn.XOR($BU$10,$BU$11)),1,0)</f>
        <v>1</v>
      </c>
      <c r="BV29" s="29">
        <f>IF(_xlfn.XOR($BM$29,_xlfn.XOR($BV$10,$BV$11)),1,0)</f>
        <v>1</v>
      </c>
      <c r="BW29" s="29">
        <f>IF(_xlfn.XOR($BN$29,_xlfn.XOR($BW$10,$BW$11)),1,0)</f>
        <v>1</v>
      </c>
      <c r="BX29" s="29">
        <f>IF(_xlfn.XOR($BO$29,_xlfn.XOR($BX$10,$BX$11)),1,0)</f>
        <v>1</v>
      </c>
      <c r="BY29" s="30">
        <f>IF(_xlfn.XOR($BP$29,_xlfn.XOR($BY$10,$BY$11)),1,0)</f>
        <v>1</v>
      </c>
      <c r="BZ29" s="30">
        <f>IF(_xlfn.XOR($BQ$29,_xlfn.XOR($BZ$10,$BZ$11)),1,0)</f>
        <v>1</v>
      </c>
      <c r="CA29" s="30">
        <f>IF(_xlfn.XOR($BR$29,_xlfn.XOR($CA$10,$CA$11)),1,0)</f>
        <v>1</v>
      </c>
      <c r="CB29" s="31">
        <f>IF(_xlfn.XOR($BS$29,_xlfn.XOR($CB$10,$CB$11)),1,0)</f>
        <v>1</v>
      </c>
      <c r="CC29" s="46" t="str">
        <f t="shared" si="6"/>
        <v>FF</v>
      </c>
      <c r="CD29" s="47"/>
      <c r="CE29" s="31">
        <f>IF(_xlfn.XOR(_xlfn.XOR(_xlfn.XOR(_xlfn.XOR(_xlfn.XOR(_xlfn.XOR($BU$29,$BV$29),$BW$29),$BX$29),$BY$29),$BZ$29),$CA$29),1,0)</f>
        <v>1</v>
      </c>
      <c r="CF29" s="2" t="str">
        <f t="shared" si="7"/>
        <v>OK</v>
      </c>
      <c r="CJ29" s="2" t="s">
        <v>30</v>
      </c>
    </row>
    <row r="30" spans="2:148" ht="13.5" x14ac:dyDescent="0.15">
      <c r="B30" s="28"/>
      <c r="C30" s="28"/>
      <c r="D30" s="28"/>
      <c r="O30" s="2" t="s">
        <v>58</v>
      </c>
      <c r="Y30" s="5">
        <f>T14</f>
        <v>0</v>
      </c>
      <c r="Z30" s="5">
        <f>T15</f>
        <v>1</v>
      </c>
      <c r="AA30" s="5">
        <f>T16</f>
        <v>0</v>
      </c>
      <c r="AB30" s="37">
        <v>1</v>
      </c>
      <c r="AL30" s="2" t="s">
        <v>13</v>
      </c>
      <c r="BU30" s="32"/>
      <c r="BV30" s="28"/>
      <c r="BW30" s="28"/>
      <c r="BX30" s="28"/>
      <c r="BY30" s="28"/>
    </row>
    <row r="31" spans="2:148" x14ac:dyDescent="0.15">
      <c r="B31" s="28"/>
      <c r="C31" s="28"/>
      <c r="D31" s="28"/>
      <c r="Y31" s="5">
        <f>U14</f>
        <v>0</v>
      </c>
      <c r="Z31" s="5">
        <f>U15</f>
        <v>0</v>
      </c>
      <c r="AA31" s="5">
        <f>U16</f>
        <v>1</v>
      </c>
      <c r="AB31" s="37">
        <v>1</v>
      </c>
      <c r="BU31" s="28"/>
      <c r="BV31" s="28"/>
      <c r="BW31" s="28"/>
      <c r="BX31" s="28"/>
      <c r="BY31" s="28"/>
    </row>
    <row r="32" spans="2:148" x14ac:dyDescent="0.15">
      <c r="B32" s="28"/>
      <c r="C32" s="28"/>
      <c r="D32" s="28"/>
      <c r="Y32" s="38">
        <v>0</v>
      </c>
      <c r="Z32" s="38">
        <v>0</v>
      </c>
      <c r="AA32" s="38">
        <v>0</v>
      </c>
      <c r="AB32" s="37">
        <v>1</v>
      </c>
      <c r="BU32" s="28"/>
      <c r="BV32" s="28"/>
      <c r="BW32" s="28"/>
      <c r="BX32" s="28"/>
      <c r="BY32" s="28"/>
    </row>
    <row r="33" spans="1:77" x14ac:dyDescent="0.15">
      <c r="B33" s="28"/>
      <c r="C33" s="28"/>
      <c r="D33" s="28"/>
      <c r="Y33" s="4" t="str">
        <f>DEC2HEX(1*Y25+2*Y26+4*Y27+8*Y28+16*Y29+32*Y30+64*Y31,2)</f>
        <v>1D</v>
      </c>
      <c r="Z33" s="4" t="str">
        <f t="shared" ref="Z33:AA33" si="23">DEC2HEX(1*Z25+2*Z26+4*Z27+8*Z28+16*Z29+32*Z30+64*Z31,2)</f>
        <v>2B</v>
      </c>
      <c r="AA33" s="4" t="str">
        <f t="shared" si="23"/>
        <v>4E</v>
      </c>
      <c r="BU33" s="28"/>
      <c r="BV33" s="28"/>
      <c r="BW33" s="28"/>
      <c r="BX33" s="28"/>
      <c r="BY33" s="28"/>
    </row>
    <row r="35" spans="1:77" s="65" customFormat="1" ht="13.5" x14ac:dyDescent="0.15">
      <c r="A35" s="65" t="s">
        <v>97</v>
      </c>
    </row>
    <row r="36" spans="1:77" s="53" customFormat="1" ht="13.5" x14ac:dyDescent="0.15">
      <c r="A36" s="66" t="s">
        <v>14</v>
      </c>
    </row>
    <row r="38" spans="1:77" x14ac:dyDescent="0.15">
      <c r="B38" s="2" t="s">
        <v>12</v>
      </c>
    </row>
    <row r="39" spans="1:77" x14ac:dyDescent="0.15">
      <c r="B39" s="36">
        <f t="shared" ref="B39:E41" si="24">B14</f>
        <v>1</v>
      </c>
      <c r="C39" s="36">
        <f t="shared" si="24"/>
        <v>0</v>
      </c>
      <c r="D39" s="36">
        <f t="shared" si="24"/>
        <v>1</v>
      </c>
      <c r="E39" s="36">
        <f t="shared" si="24"/>
        <v>1</v>
      </c>
    </row>
    <row r="40" spans="1:77" x14ac:dyDescent="0.15">
      <c r="B40" s="36">
        <f t="shared" si="24"/>
        <v>1</v>
      </c>
      <c r="C40" s="36">
        <f t="shared" si="24"/>
        <v>1</v>
      </c>
      <c r="D40" s="36">
        <f t="shared" si="24"/>
        <v>0</v>
      </c>
      <c r="E40" s="36">
        <f t="shared" si="24"/>
        <v>1</v>
      </c>
    </row>
    <row r="41" spans="1:77" ht="12" thickBot="1" x14ac:dyDescent="0.2">
      <c r="B41" s="36">
        <f t="shared" si="24"/>
        <v>0</v>
      </c>
      <c r="C41" s="36">
        <f t="shared" si="24"/>
        <v>1</v>
      </c>
      <c r="D41" s="36">
        <f t="shared" si="24"/>
        <v>1</v>
      </c>
      <c r="E41" s="36">
        <f t="shared" si="24"/>
        <v>1</v>
      </c>
      <c r="AC41" s="43" t="s">
        <v>69</v>
      </c>
    </row>
    <row r="42" spans="1:77" ht="12.75" thickTop="1" thickBot="1" x14ac:dyDescent="0.2">
      <c r="B42" s="2" t="s">
        <v>63</v>
      </c>
      <c r="AB42" s="4" t="s">
        <v>20</v>
      </c>
      <c r="AC42" s="42">
        <v>0</v>
      </c>
      <c r="AD42" s="42">
        <v>0</v>
      </c>
      <c r="AE42" s="42">
        <v>0</v>
      </c>
      <c r="AF42" s="42">
        <v>0</v>
      </c>
      <c r="AG42" s="42">
        <v>0</v>
      </c>
      <c r="AH42" s="42">
        <v>0</v>
      </c>
      <c r="AI42" s="42">
        <v>0</v>
      </c>
      <c r="AJ42" s="42">
        <v>0</v>
      </c>
      <c r="AK42" s="2">
        <f>SUM(AC42:AJ42)</f>
        <v>0</v>
      </c>
    </row>
    <row r="43" spans="1:77" ht="12.75" thickTop="1" thickBot="1" x14ac:dyDescent="0.2">
      <c r="B43" s="2" t="s">
        <v>67</v>
      </c>
      <c r="AB43" s="4" t="s">
        <v>21</v>
      </c>
      <c r="AC43" s="42">
        <v>0</v>
      </c>
      <c r="AD43" s="42">
        <v>0</v>
      </c>
      <c r="AE43" s="42">
        <v>0</v>
      </c>
      <c r="AF43" s="42">
        <v>0</v>
      </c>
      <c r="AG43" s="42">
        <v>0</v>
      </c>
      <c r="AH43" s="42">
        <v>0</v>
      </c>
      <c r="AI43" s="42">
        <v>0</v>
      </c>
      <c r="AJ43" s="42">
        <v>0</v>
      </c>
      <c r="AK43" s="2">
        <f>SUM(AC43:AJ43)</f>
        <v>0</v>
      </c>
    </row>
    <row r="44" spans="1:77" ht="12" thickTop="1" x14ac:dyDescent="0.15">
      <c r="AC44" s="2" t="s">
        <v>23</v>
      </c>
      <c r="AD44" s="2" t="s">
        <v>22</v>
      </c>
      <c r="AE44" s="2" t="s">
        <v>22</v>
      </c>
      <c r="AF44" s="2" t="s">
        <v>22</v>
      </c>
      <c r="AG44" s="2" t="s">
        <v>22</v>
      </c>
      <c r="AH44" s="2" t="s">
        <v>22</v>
      </c>
      <c r="AI44" s="2" t="s">
        <v>22</v>
      </c>
      <c r="AJ44" s="2" t="s">
        <v>22</v>
      </c>
    </row>
    <row r="45" spans="1:77" ht="13.5" x14ac:dyDescent="0.15">
      <c r="B45" s="2" t="s">
        <v>44</v>
      </c>
      <c r="G45" s="2" t="s">
        <v>78</v>
      </c>
      <c r="K45" s="2" t="s">
        <v>79</v>
      </c>
      <c r="T45" s="2" t="s">
        <v>4</v>
      </c>
      <c r="AB45" s="2" t="s">
        <v>18</v>
      </c>
      <c r="AC45" s="2" t="s">
        <v>5</v>
      </c>
      <c r="AL45" s="2" t="s">
        <v>6</v>
      </c>
      <c r="AQ45" s="2" t="s">
        <v>31</v>
      </c>
    </row>
    <row r="46" spans="1:77" ht="13.5" thickBot="1" x14ac:dyDescent="0.2">
      <c r="A46" s="2" t="s">
        <v>45</v>
      </c>
      <c r="B46" s="8">
        <v>0</v>
      </c>
      <c r="C46" s="9">
        <v>1</v>
      </c>
      <c r="D46" s="9">
        <v>0</v>
      </c>
      <c r="E46" s="9">
        <v>1</v>
      </c>
      <c r="F46" s="9">
        <v>0</v>
      </c>
      <c r="G46" s="9">
        <v>1</v>
      </c>
      <c r="H46" s="9">
        <v>0</v>
      </c>
      <c r="I46" s="9">
        <v>1</v>
      </c>
      <c r="J46" s="9">
        <v>0</v>
      </c>
      <c r="K46" s="9">
        <v>1</v>
      </c>
      <c r="L46" s="9">
        <v>0</v>
      </c>
      <c r="M46" s="9">
        <v>1</v>
      </c>
      <c r="N46" s="9">
        <v>0</v>
      </c>
      <c r="O46" s="9">
        <v>1</v>
      </c>
      <c r="P46" s="9">
        <v>0</v>
      </c>
      <c r="Q46" s="10">
        <v>1</v>
      </c>
      <c r="T46" s="7">
        <f>$B$46</f>
        <v>0</v>
      </c>
      <c r="U46" s="7">
        <f>$B$47</f>
        <v>0</v>
      </c>
      <c r="V46" s="7">
        <f>$B$48</f>
        <v>0</v>
      </c>
      <c r="W46" s="7">
        <f>$B$49</f>
        <v>0</v>
      </c>
      <c r="X46" s="11">
        <f>$B$51</f>
        <v>0</v>
      </c>
      <c r="Y46" s="11">
        <f>$B$52</f>
        <v>0</v>
      </c>
      <c r="Z46" s="11">
        <f>$B$53</f>
        <v>0</v>
      </c>
      <c r="AA46" s="12">
        <f>$B$55</f>
        <v>0</v>
      </c>
      <c r="AB46" s="2" t="s">
        <v>18</v>
      </c>
      <c r="AC46" s="7">
        <f t="shared" ref="AC46:AC61" si="25">IF(_xlfn.XOR(T46,_xlfn.XOR(AC$42,AC$43)),1,0)</f>
        <v>0</v>
      </c>
      <c r="AD46" s="7">
        <f t="shared" ref="AD46:AD61" si="26">IF(_xlfn.XOR(U46,_xlfn.XOR(AD$42,AD$43)),1,0)</f>
        <v>0</v>
      </c>
      <c r="AE46" s="7">
        <f t="shared" ref="AE46:AE61" si="27">IF(_xlfn.XOR(V46,_xlfn.XOR(AE$42,AE$43)),1,0)</f>
        <v>0</v>
      </c>
      <c r="AF46" s="7">
        <f t="shared" ref="AF46:AF61" si="28">IF(_xlfn.XOR(W46,_xlfn.XOR(AF$42,AF$43)),1,0)</f>
        <v>0</v>
      </c>
      <c r="AG46" s="11">
        <f t="shared" ref="AG46:AG61" si="29">IF(_xlfn.XOR(X46,_xlfn.XOR(AG$42,AG$43)),1,0)</f>
        <v>0</v>
      </c>
      <c r="AH46" s="11">
        <f t="shared" ref="AH46:AH61" si="30">IF(_xlfn.XOR(Y46,_xlfn.XOR(AH$42,AH$43)),1,0)</f>
        <v>0</v>
      </c>
      <c r="AI46" s="11">
        <f t="shared" ref="AI46:AI61" si="31">IF(_xlfn.XOR(Z46,_xlfn.XOR(AI$42,AI$43)),1,0)</f>
        <v>0</v>
      </c>
      <c r="AJ46" s="12">
        <f t="shared" ref="AJ46:AJ61" si="32">IF(_xlfn.XOR(AA46,_xlfn.XOR(AJ$42,AJ$43)),1,0)</f>
        <v>0</v>
      </c>
      <c r="AK46" s="13"/>
      <c r="AL46" s="12">
        <f>IF(_xlfn.XOR(_xlfn.XOR(_xlfn.XOR(_xlfn.XOR(_xlfn.XOR(_xlfn.XOR(AC46,AD46),AE46),AF46),AG46),AH46),AI46),1,0)</f>
        <v>0</v>
      </c>
      <c r="AM46" s="2" t="str">
        <f>IF(AJ46=AL46,"OK","NG!")</f>
        <v>OK</v>
      </c>
      <c r="AP46" s="2" t="s">
        <v>25</v>
      </c>
      <c r="AQ46" s="12">
        <f t="shared" ref="AQ46:BF55" si="33">IF($AC46&lt;&gt;AQ$63,1,0)+IF($AD46&lt;&gt;AQ$64,1,0)+IF($AE46&lt;&gt;AQ$65,1,0)+IF($AF46&lt;&gt;AQ$66,1,0)+IF($AG46&lt;&gt;AQ$67,1,0)+IF($AH46&lt;&gt;AQ$68,1,0)+IF($AI46&lt;&gt;AQ$69,1,0)</f>
        <v>0</v>
      </c>
      <c r="AR46" s="33">
        <f t="shared" si="33"/>
        <v>3</v>
      </c>
      <c r="AS46" s="33">
        <f t="shared" si="33"/>
        <v>3</v>
      </c>
      <c r="AT46" s="33">
        <f t="shared" si="33"/>
        <v>4</v>
      </c>
      <c r="AU46" s="33">
        <f t="shared" si="33"/>
        <v>3</v>
      </c>
      <c r="AV46" s="33">
        <f t="shared" si="33"/>
        <v>4</v>
      </c>
      <c r="AW46" s="33">
        <f t="shared" si="33"/>
        <v>4</v>
      </c>
      <c r="AX46" s="33">
        <f t="shared" si="33"/>
        <v>3</v>
      </c>
      <c r="AY46" s="33">
        <f t="shared" si="33"/>
        <v>4</v>
      </c>
      <c r="AZ46" s="33">
        <f t="shared" si="33"/>
        <v>3</v>
      </c>
      <c r="BA46" s="33">
        <f t="shared" si="33"/>
        <v>3</v>
      </c>
      <c r="BB46" s="33">
        <f t="shared" si="33"/>
        <v>4</v>
      </c>
      <c r="BC46" s="33">
        <f t="shared" si="33"/>
        <v>3</v>
      </c>
      <c r="BD46" s="33">
        <f t="shared" si="33"/>
        <v>4</v>
      </c>
      <c r="BE46" s="33">
        <f t="shared" si="33"/>
        <v>4</v>
      </c>
      <c r="BF46" s="33">
        <f t="shared" si="33"/>
        <v>7</v>
      </c>
    </row>
    <row r="47" spans="1:77" ht="14.25" thickTop="1" thickBot="1" x14ac:dyDescent="0.2">
      <c r="A47" s="2" t="s">
        <v>46</v>
      </c>
      <c r="B47" s="8">
        <v>0</v>
      </c>
      <c r="C47" s="9">
        <v>0</v>
      </c>
      <c r="D47" s="9">
        <v>1</v>
      </c>
      <c r="E47" s="9">
        <v>1</v>
      </c>
      <c r="F47" s="9">
        <v>0</v>
      </c>
      <c r="G47" s="9">
        <v>0</v>
      </c>
      <c r="H47" s="9">
        <v>1</v>
      </c>
      <c r="I47" s="9">
        <v>1</v>
      </c>
      <c r="J47" s="9">
        <v>0</v>
      </c>
      <c r="K47" s="9">
        <v>0</v>
      </c>
      <c r="L47" s="9">
        <v>1</v>
      </c>
      <c r="M47" s="9">
        <v>1</v>
      </c>
      <c r="N47" s="9">
        <v>0</v>
      </c>
      <c r="O47" s="9">
        <v>0</v>
      </c>
      <c r="P47" s="9">
        <v>1</v>
      </c>
      <c r="Q47" s="10">
        <v>1</v>
      </c>
      <c r="T47" s="17">
        <f>$C$46</f>
        <v>1</v>
      </c>
      <c r="U47" s="17">
        <f>$C$47</f>
        <v>0</v>
      </c>
      <c r="V47" s="17">
        <f>$C$48</f>
        <v>0</v>
      </c>
      <c r="W47" s="17">
        <f>$C$49</f>
        <v>0</v>
      </c>
      <c r="X47" s="18">
        <f>$C$51</f>
        <v>1</v>
      </c>
      <c r="Y47" s="18">
        <f>$C$52</f>
        <v>1</v>
      </c>
      <c r="Z47" s="18">
        <f>$C$53</f>
        <v>0</v>
      </c>
      <c r="AA47" s="19">
        <f>$C$55</f>
        <v>1</v>
      </c>
      <c r="AB47" s="2" t="s">
        <v>18</v>
      </c>
      <c r="AC47" s="17">
        <f t="shared" si="25"/>
        <v>1</v>
      </c>
      <c r="AD47" s="17">
        <f t="shared" si="26"/>
        <v>0</v>
      </c>
      <c r="AE47" s="17">
        <f t="shared" si="27"/>
        <v>0</v>
      </c>
      <c r="AF47" s="17">
        <f t="shared" si="28"/>
        <v>0</v>
      </c>
      <c r="AG47" s="18">
        <f t="shared" si="29"/>
        <v>1</v>
      </c>
      <c r="AH47" s="18">
        <f t="shared" si="30"/>
        <v>1</v>
      </c>
      <c r="AI47" s="18">
        <f t="shared" si="31"/>
        <v>0</v>
      </c>
      <c r="AJ47" s="19">
        <f t="shared" si="32"/>
        <v>1</v>
      </c>
      <c r="AK47" s="13"/>
      <c r="AL47" s="19">
        <f t="shared" ref="AL47:AL61" si="34">IF(_xlfn.XOR(_xlfn.XOR(_xlfn.XOR(_xlfn.XOR(_xlfn.XOR(_xlfn.XOR(AC47,AD47),AE47),AF47),AG47),AH47),AI47),1,0)</f>
        <v>1</v>
      </c>
      <c r="AM47" s="2" t="str">
        <f t="shared" ref="AM47:AM61" si="35">IF(AJ47=AL47,"OK","NG!")</f>
        <v>OK</v>
      </c>
      <c r="AP47" s="2" t="s">
        <v>25</v>
      </c>
      <c r="AQ47" s="34">
        <f t="shared" si="33"/>
        <v>3</v>
      </c>
      <c r="AR47" s="19">
        <f t="shared" si="33"/>
        <v>0</v>
      </c>
      <c r="AS47" s="34">
        <f t="shared" si="33"/>
        <v>4</v>
      </c>
      <c r="AT47" s="34">
        <f t="shared" si="33"/>
        <v>3</v>
      </c>
      <c r="AU47" s="34">
        <f t="shared" si="33"/>
        <v>4</v>
      </c>
      <c r="AV47" s="34">
        <f t="shared" si="33"/>
        <v>3</v>
      </c>
      <c r="AW47" s="34">
        <f t="shared" si="33"/>
        <v>3</v>
      </c>
      <c r="AX47" s="34">
        <f t="shared" si="33"/>
        <v>4</v>
      </c>
      <c r="AY47" s="34">
        <f t="shared" si="33"/>
        <v>3</v>
      </c>
      <c r="AZ47" s="34">
        <f t="shared" si="33"/>
        <v>4</v>
      </c>
      <c r="BA47" s="34">
        <f t="shared" si="33"/>
        <v>4</v>
      </c>
      <c r="BB47" s="34">
        <f t="shared" si="33"/>
        <v>3</v>
      </c>
      <c r="BC47" s="34">
        <f t="shared" si="33"/>
        <v>4</v>
      </c>
      <c r="BD47" s="34">
        <f t="shared" si="33"/>
        <v>3</v>
      </c>
      <c r="BE47" s="34">
        <f t="shared" si="33"/>
        <v>7</v>
      </c>
      <c r="BF47" s="34">
        <f t="shared" si="33"/>
        <v>4</v>
      </c>
    </row>
    <row r="48" spans="1:77" ht="14.25" thickTop="1" thickBot="1" x14ac:dyDescent="0.2">
      <c r="A48" s="2" t="s">
        <v>47</v>
      </c>
      <c r="B48" s="8">
        <v>0</v>
      </c>
      <c r="C48" s="9">
        <v>0</v>
      </c>
      <c r="D48" s="9">
        <v>0</v>
      </c>
      <c r="E48" s="9">
        <v>0</v>
      </c>
      <c r="F48" s="9">
        <v>1</v>
      </c>
      <c r="G48" s="9">
        <v>1</v>
      </c>
      <c r="H48" s="9">
        <v>1</v>
      </c>
      <c r="I48" s="9">
        <v>1</v>
      </c>
      <c r="J48" s="9">
        <v>0</v>
      </c>
      <c r="K48" s="9">
        <v>0</v>
      </c>
      <c r="L48" s="9">
        <v>0</v>
      </c>
      <c r="M48" s="9">
        <v>0</v>
      </c>
      <c r="N48" s="9">
        <v>1</v>
      </c>
      <c r="O48" s="9">
        <v>1</v>
      </c>
      <c r="P48" s="9">
        <v>1</v>
      </c>
      <c r="Q48" s="10">
        <v>1</v>
      </c>
      <c r="T48" s="17">
        <f>$D$46</f>
        <v>0</v>
      </c>
      <c r="U48" s="17">
        <f>$D$47</f>
        <v>1</v>
      </c>
      <c r="V48" s="17">
        <f>$D$48</f>
        <v>0</v>
      </c>
      <c r="W48" s="17">
        <f>$D$49</f>
        <v>0</v>
      </c>
      <c r="X48" s="18">
        <f>$D$51</f>
        <v>0</v>
      </c>
      <c r="Y48" s="18">
        <f>$D$52</f>
        <v>1</v>
      </c>
      <c r="Z48" s="18">
        <f>$D$53</f>
        <v>1</v>
      </c>
      <c r="AA48" s="19">
        <f>$D$55</f>
        <v>1</v>
      </c>
      <c r="AB48" s="2" t="s">
        <v>18</v>
      </c>
      <c r="AC48" s="17">
        <f t="shared" si="25"/>
        <v>0</v>
      </c>
      <c r="AD48" s="17">
        <f t="shared" si="26"/>
        <v>1</v>
      </c>
      <c r="AE48" s="17">
        <f t="shared" si="27"/>
        <v>0</v>
      </c>
      <c r="AF48" s="17">
        <f t="shared" si="28"/>
        <v>0</v>
      </c>
      <c r="AG48" s="18">
        <f t="shared" si="29"/>
        <v>0</v>
      </c>
      <c r="AH48" s="18">
        <f t="shared" si="30"/>
        <v>1</v>
      </c>
      <c r="AI48" s="18">
        <f t="shared" si="31"/>
        <v>1</v>
      </c>
      <c r="AJ48" s="19">
        <f t="shared" si="32"/>
        <v>1</v>
      </c>
      <c r="AK48" s="13"/>
      <c r="AL48" s="19">
        <f t="shared" si="34"/>
        <v>1</v>
      </c>
      <c r="AM48" s="2" t="str">
        <f t="shared" si="35"/>
        <v>OK</v>
      </c>
      <c r="AP48" s="2" t="s">
        <v>25</v>
      </c>
      <c r="AQ48" s="34">
        <f t="shared" si="33"/>
        <v>3</v>
      </c>
      <c r="AR48" s="34">
        <f t="shared" si="33"/>
        <v>4</v>
      </c>
      <c r="AS48" s="19">
        <f t="shared" si="33"/>
        <v>0</v>
      </c>
      <c r="AT48" s="34">
        <f t="shared" si="33"/>
        <v>3</v>
      </c>
      <c r="AU48" s="34">
        <f t="shared" si="33"/>
        <v>4</v>
      </c>
      <c r="AV48" s="34">
        <f t="shared" si="33"/>
        <v>3</v>
      </c>
      <c r="AW48" s="34">
        <f t="shared" si="33"/>
        <v>3</v>
      </c>
      <c r="AX48" s="34">
        <f t="shared" si="33"/>
        <v>4</v>
      </c>
      <c r="AY48" s="34">
        <f t="shared" si="33"/>
        <v>3</v>
      </c>
      <c r="AZ48" s="34">
        <f t="shared" si="33"/>
        <v>4</v>
      </c>
      <c r="BA48" s="34">
        <f t="shared" si="33"/>
        <v>4</v>
      </c>
      <c r="BB48" s="34">
        <f t="shared" si="33"/>
        <v>3</v>
      </c>
      <c r="BC48" s="34">
        <f t="shared" si="33"/>
        <v>4</v>
      </c>
      <c r="BD48" s="34">
        <f t="shared" si="33"/>
        <v>7</v>
      </c>
      <c r="BE48" s="34">
        <f t="shared" si="33"/>
        <v>3</v>
      </c>
      <c r="BF48" s="34">
        <f t="shared" si="33"/>
        <v>4</v>
      </c>
    </row>
    <row r="49" spans="1:58" ht="14.25" thickTop="1" thickBot="1" x14ac:dyDescent="0.2">
      <c r="A49" s="2" t="s">
        <v>48</v>
      </c>
      <c r="B49" s="8">
        <v>0</v>
      </c>
      <c r="C49" s="9">
        <v>0</v>
      </c>
      <c r="D49" s="9">
        <v>0</v>
      </c>
      <c r="E49" s="9">
        <v>0</v>
      </c>
      <c r="F49" s="9">
        <v>0</v>
      </c>
      <c r="G49" s="9">
        <v>0</v>
      </c>
      <c r="H49" s="9">
        <v>0</v>
      </c>
      <c r="I49" s="9">
        <v>0</v>
      </c>
      <c r="J49" s="9">
        <v>1</v>
      </c>
      <c r="K49" s="9">
        <v>1</v>
      </c>
      <c r="L49" s="9">
        <v>1</v>
      </c>
      <c r="M49" s="9">
        <v>1</v>
      </c>
      <c r="N49" s="9">
        <v>1</v>
      </c>
      <c r="O49" s="9">
        <v>1</v>
      </c>
      <c r="P49" s="9">
        <v>1</v>
      </c>
      <c r="Q49" s="10">
        <v>1</v>
      </c>
      <c r="T49" s="17">
        <f>$E$46</f>
        <v>1</v>
      </c>
      <c r="U49" s="17">
        <f>$E$47</f>
        <v>1</v>
      </c>
      <c r="V49" s="17">
        <f>$E$48</f>
        <v>0</v>
      </c>
      <c r="W49" s="17">
        <f>$E$49</f>
        <v>0</v>
      </c>
      <c r="X49" s="18">
        <f>$E$51</f>
        <v>1</v>
      </c>
      <c r="Y49" s="18">
        <f>$E$52</f>
        <v>0</v>
      </c>
      <c r="Z49" s="18">
        <f>$E$53</f>
        <v>1</v>
      </c>
      <c r="AA49" s="19">
        <f>$E$55</f>
        <v>0</v>
      </c>
      <c r="AB49" s="2" t="s">
        <v>18</v>
      </c>
      <c r="AC49" s="17">
        <f t="shared" si="25"/>
        <v>1</v>
      </c>
      <c r="AD49" s="17">
        <f t="shared" si="26"/>
        <v>1</v>
      </c>
      <c r="AE49" s="17">
        <f t="shared" si="27"/>
        <v>0</v>
      </c>
      <c r="AF49" s="17">
        <f t="shared" si="28"/>
        <v>0</v>
      </c>
      <c r="AG49" s="18">
        <f t="shared" si="29"/>
        <v>1</v>
      </c>
      <c r="AH49" s="18">
        <f t="shared" si="30"/>
        <v>0</v>
      </c>
      <c r="AI49" s="18">
        <f t="shared" si="31"/>
        <v>1</v>
      </c>
      <c r="AJ49" s="19">
        <f t="shared" si="32"/>
        <v>0</v>
      </c>
      <c r="AK49" s="13"/>
      <c r="AL49" s="19">
        <f t="shared" si="34"/>
        <v>0</v>
      </c>
      <c r="AM49" s="2" t="str">
        <f t="shared" si="35"/>
        <v>OK</v>
      </c>
      <c r="AP49" s="2" t="s">
        <v>25</v>
      </c>
      <c r="AQ49" s="34">
        <f t="shared" si="33"/>
        <v>4</v>
      </c>
      <c r="AR49" s="34">
        <f t="shared" si="33"/>
        <v>3</v>
      </c>
      <c r="AS49" s="34">
        <f t="shared" si="33"/>
        <v>3</v>
      </c>
      <c r="AT49" s="19">
        <f t="shared" si="33"/>
        <v>0</v>
      </c>
      <c r="AU49" s="34">
        <f t="shared" si="33"/>
        <v>3</v>
      </c>
      <c r="AV49" s="34">
        <f t="shared" si="33"/>
        <v>4</v>
      </c>
      <c r="AW49" s="34">
        <f t="shared" si="33"/>
        <v>4</v>
      </c>
      <c r="AX49" s="34">
        <f t="shared" si="33"/>
        <v>3</v>
      </c>
      <c r="AY49" s="34">
        <f t="shared" si="33"/>
        <v>4</v>
      </c>
      <c r="AZ49" s="34">
        <f t="shared" si="33"/>
        <v>3</v>
      </c>
      <c r="BA49" s="34">
        <f t="shared" si="33"/>
        <v>3</v>
      </c>
      <c r="BB49" s="34">
        <f t="shared" si="33"/>
        <v>4</v>
      </c>
      <c r="BC49" s="34">
        <f t="shared" si="33"/>
        <v>7</v>
      </c>
      <c r="BD49" s="34">
        <f t="shared" si="33"/>
        <v>4</v>
      </c>
      <c r="BE49" s="34">
        <f t="shared" si="33"/>
        <v>4</v>
      </c>
      <c r="BF49" s="34">
        <f t="shared" si="33"/>
        <v>3</v>
      </c>
    </row>
    <row r="50" spans="1:58" ht="15" thickTop="1" thickBot="1" x14ac:dyDescent="0.2">
      <c r="B50" s="2" t="s">
        <v>49</v>
      </c>
      <c r="H50" s="2" t="s">
        <v>50</v>
      </c>
      <c r="T50" s="17">
        <f>$F$46</f>
        <v>0</v>
      </c>
      <c r="U50" s="17">
        <f>$F$47</f>
        <v>0</v>
      </c>
      <c r="V50" s="17">
        <f>$F$48</f>
        <v>1</v>
      </c>
      <c r="W50" s="17">
        <f>$F$49</f>
        <v>0</v>
      </c>
      <c r="X50" s="18">
        <f>$F$51</f>
        <v>1</v>
      </c>
      <c r="Y50" s="18">
        <f>$F$52</f>
        <v>0</v>
      </c>
      <c r="Z50" s="18">
        <f>$F$53</f>
        <v>1</v>
      </c>
      <c r="AA50" s="19">
        <f>$F$55</f>
        <v>1</v>
      </c>
      <c r="AB50" s="2" t="s">
        <v>18</v>
      </c>
      <c r="AC50" s="17">
        <f t="shared" si="25"/>
        <v>0</v>
      </c>
      <c r="AD50" s="17">
        <f t="shared" si="26"/>
        <v>0</v>
      </c>
      <c r="AE50" s="17">
        <f t="shared" si="27"/>
        <v>1</v>
      </c>
      <c r="AF50" s="17">
        <f t="shared" si="28"/>
        <v>0</v>
      </c>
      <c r="AG50" s="18">
        <f t="shared" si="29"/>
        <v>1</v>
      </c>
      <c r="AH50" s="18">
        <f t="shared" si="30"/>
        <v>0</v>
      </c>
      <c r="AI50" s="18">
        <f t="shared" si="31"/>
        <v>1</v>
      </c>
      <c r="AJ50" s="19">
        <f t="shared" si="32"/>
        <v>1</v>
      </c>
      <c r="AK50" s="13"/>
      <c r="AL50" s="19">
        <f t="shared" si="34"/>
        <v>1</v>
      </c>
      <c r="AM50" s="2" t="str">
        <f t="shared" si="35"/>
        <v>OK</v>
      </c>
      <c r="AP50" s="2" t="s">
        <v>25</v>
      </c>
      <c r="AQ50" s="34">
        <f t="shared" si="33"/>
        <v>3</v>
      </c>
      <c r="AR50" s="34">
        <f t="shared" si="33"/>
        <v>4</v>
      </c>
      <c r="AS50" s="34">
        <f t="shared" si="33"/>
        <v>4</v>
      </c>
      <c r="AT50" s="34">
        <f t="shared" si="33"/>
        <v>3</v>
      </c>
      <c r="AU50" s="19">
        <f t="shared" si="33"/>
        <v>0</v>
      </c>
      <c r="AV50" s="34">
        <f t="shared" si="33"/>
        <v>3</v>
      </c>
      <c r="AW50" s="34">
        <f t="shared" si="33"/>
        <v>3</v>
      </c>
      <c r="AX50" s="34">
        <f t="shared" si="33"/>
        <v>4</v>
      </c>
      <c r="AY50" s="34">
        <f t="shared" si="33"/>
        <v>3</v>
      </c>
      <c r="AZ50" s="34">
        <f t="shared" si="33"/>
        <v>4</v>
      </c>
      <c r="BA50" s="34">
        <f t="shared" si="33"/>
        <v>4</v>
      </c>
      <c r="BB50" s="34">
        <f t="shared" si="33"/>
        <v>7</v>
      </c>
      <c r="BC50" s="34">
        <f t="shared" si="33"/>
        <v>4</v>
      </c>
      <c r="BD50" s="34">
        <f t="shared" si="33"/>
        <v>3</v>
      </c>
      <c r="BE50" s="34">
        <f t="shared" si="33"/>
        <v>3</v>
      </c>
      <c r="BF50" s="34">
        <f t="shared" si="33"/>
        <v>4</v>
      </c>
    </row>
    <row r="51" spans="1:58" ht="14.25" thickTop="1" thickBot="1" x14ac:dyDescent="0.2">
      <c r="A51" s="2" t="s">
        <v>51</v>
      </c>
      <c r="B51" s="21">
        <f t="shared" ref="B51:Q51" si="36">IF(_xlfn.XOR(_xlfn.XOR(_xlfn.XOR($B$39*B$46,$C$39*B$47),$D$39*B$48),$E$39*B$49),1,0)</f>
        <v>0</v>
      </c>
      <c r="C51" s="22">
        <f t="shared" si="36"/>
        <v>1</v>
      </c>
      <c r="D51" s="22">
        <f t="shared" si="36"/>
        <v>0</v>
      </c>
      <c r="E51" s="22">
        <f t="shared" si="36"/>
        <v>1</v>
      </c>
      <c r="F51" s="22">
        <f t="shared" si="36"/>
        <v>1</v>
      </c>
      <c r="G51" s="22">
        <f t="shared" si="36"/>
        <v>0</v>
      </c>
      <c r="H51" s="22">
        <f t="shared" si="36"/>
        <v>1</v>
      </c>
      <c r="I51" s="22">
        <f t="shared" si="36"/>
        <v>0</v>
      </c>
      <c r="J51" s="22">
        <f t="shared" si="36"/>
        <v>1</v>
      </c>
      <c r="K51" s="22">
        <f t="shared" si="36"/>
        <v>0</v>
      </c>
      <c r="L51" s="22">
        <f t="shared" si="36"/>
        <v>1</v>
      </c>
      <c r="M51" s="22">
        <f t="shared" si="36"/>
        <v>0</v>
      </c>
      <c r="N51" s="22">
        <f t="shared" si="36"/>
        <v>0</v>
      </c>
      <c r="O51" s="22">
        <f t="shared" si="36"/>
        <v>1</v>
      </c>
      <c r="P51" s="22">
        <f t="shared" si="36"/>
        <v>0</v>
      </c>
      <c r="Q51" s="23">
        <f t="shared" si="36"/>
        <v>1</v>
      </c>
      <c r="T51" s="17">
        <f>$G$46</f>
        <v>1</v>
      </c>
      <c r="U51" s="17">
        <f>$G$47</f>
        <v>0</v>
      </c>
      <c r="V51" s="17">
        <f>$G$48</f>
        <v>1</v>
      </c>
      <c r="W51" s="17">
        <f>$G$49</f>
        <v>0</v>
      </c>
      <c r="X51" s="18">
        <f>$G$51</f>
        <v>0</v>
      </c>
      <c r="Y51" s="18">
        <f>$G$52</f>
        <v>1</v>
      </c>
      <c r="Z51" s="18">
        <f>$G$53</f>
        <v>1</v>
      </c>
      <c r="AA51" s="19">
        <f>$G$55</f>
        <v>0</v>
      </c>
      <c r="AB51" s="2" t="s">
        <v>18</v>
      </c>
      <c r="AC51" s="17">
        <f t="shared" si="25"/>
        <v>1</v>
      </c>
      <c r="AD51" s="17">
        <f t="shared" si="26"/>
        <v>0</v>
      </c>
      <c r="AE51" s="17">
        <f t="shared" si="27"/>
        <v>1</v>
      </c>
      <c r="AF51" s="17">
        <f t="shared" si="28"/>
        <v>0</v>
      </c>
      <c r="AG51" s="18">
        <f t="shared" si="29"/>
        <v>0</v>
      </c>
      <c r="AH51" s="18">
        <f t="shared" si="30"/>
        <v>1</v>
      </c>
      <c r="AI51" s="18">
        <f t="shared" si="31"/>
        <v>1</v>
      </c>
      <c r="AJ51" s="19">
        <f t="shared" si="32"/>
        <v>0</v>
      </c>
      <c r="AK51" s="13"/>
      <c r="AL51" s="19">
        <f t="shared" si="34"/>
        <v>0</v>
      </c>
      <c r="AM51" s="2" t="str">
        <f t="shared" si="35"/>
        <v>OK</v>
      </c>
      <c r="AP51" s="2" t="s">
        <v>25</v>
      </c>
      <c r="AQ51" s="34">
        <f t="shared" si="33"/>
        <v>4</v>
      </c>
      <c r="AR51" s="34">
        <f t="shared" si="33"/>
        <v>3</v>
      </c>
      <c r="AS51" s="34">
        <f t="shared" si="33"/>
        <v>3</v>
      </c>
      <c r="AT51" s="34">
        <f t="shared" si="33"/>
        <v>4</v>
      </c>
      <c r="AU51" s="34">
        <f t="shared" si="33"/>
        <v>3</v>
      </c>
      <c r="AV51" s="19">
        <f t="shared" si="33"/>
        <v>0</v>
      </c>
      <c r="AW51" s="34">
        <f t="shared" si="33"/>
        <v>4</v>
      </c>
      <c r="AX51" s="34">
        <f t="shared" si="33"/>
        <v>3</v>
      </c>
      <c r="AY51" s="34">
        <f t="shared" si="33"/>
        <v>4</v>
      </c>
      <c r="AZ51" s="34">
        <f t="shared" si="33"/>
        <v>3</v>
      </c>
      <c r="BA51" s="34">
        <f t="shared" si="33"/>
        <v>7</v>
      </c>
      <c r="BB51" s="34">
        <f t="shared" si="33"/>
        <v>4</v>
      </c>
      <c r="BC51" s="34">
        <f t="shared" si="33"/>
        <v>3</v>
      </c>
      <c r="BD51" s="34">
        <f t="shared" si="33"/>
        <v>4</v>
      </c>
      <c r="BE51" s="34">
        <f t="shared" si="33"/>
        <v>4</v>
      </c>
      <c r="BF51" s="34">
        <f t="shared" si="33"/>
        <v>3</v>
      </c>
    </row>
    <row r="52" spans="1:58" ht="14.25" thickTop="1" thickBot="1" x14ac:dyDescent="0.2">
      <c r="A52" s="2" t="s">
        <v>52</v>
      </c>
      <c r="B52" s="21">
        <f t="shared" ref="B52:Q52" si="37">IF(_xlfn.XOR(_xlfn.XOR(_xlfn.XOR($B$40*B$46,$C$40*B$47),$D$40*B$48),$E$40*B$49),1,0)</f>
        <v>0</v>
      </c>
      <c r="C52" s="22">
        <f t="shared" si="37"/>
        <v>1</v>
      </c>
      <c r="D52" s="22">
        <f t="shared" si="37"/>
        <v>1</v>
      </c>
      <c r="E52" s="22">
        <f t="shared" si="37"/>
        <v>0</v>
      </c>
      <c r="F52" s="22">
        <f t="shared" si="37"/>
        <v>0</v>
      </c>
      <c r="G52" s="22">
        <f t="shared" si="37"/>
        <v>1</v>
      </c>
      <c r="H52" s="22">
        <f t="shared" si="37"/>
        <v>1</v>
      </c>
      <c r="I52" s="22">
        <f t="shared" si="37"/>
        <v>0</v>
      </c>
      <c r="J52" s="22">
        <f t="shared" si="37"/>
        <v>1</v>
      </c>
      <c r="K52" s="22">
        <f t="shared" si="37"/>
        <v>0</v>
      </c>
      <c r="L52" s="22">
        <f t="shared" si="37"/>
        <v>0</v>
      </c>
      <c r="M52" s="22">
        <f t="shared" si="37"/>
        <v>1</v>
      </c>
      <c r="N52" s="22">
        <f t="shared" si="37"/>
        <v>1</v>
      </c>
      <c r="O52" s="22">
        <f t="shared" si="37"/>
        <v>0</v>
      </c>
      <c r="P52" s="22">
        <f t="shared" si="37"/>
        <v>0</v>
      </c>
      <c r="Q52" s="23">
        <f t="shared" si="37"/>
        <v>1</v>
      </c>
      <c r="T52" s="17">
        <f>$H$46</f>
        <v>0</v>
      </c>
      <c r="U52" s="17">
        <f>$H$47</f>
        <v>1</v>
      </c>
      <c r="V52" s="17">
        <f>$H$48</f>
        <v>1</v>
      </c>
      <c r="W52" s="17">
        <f>$H$49</f>
        <v>0</v>
      </c>
      <c r="X52" s="18">
        <f>$H$51</f>
        <v>1</v>
      </c>
      <c r="Y52" s="18">
        <f>$H$52</f>
        <v>1</v>
      </c>
      <c r="Z52" s="18">
        <f>$H$53</f>
        <v>0</v>
      </c>
      <c r="AA52" s="19">
        <f>$H$55</f>
        <v>0</v>
      </c>
      <c r="AB52" s="2" t="s">
        <v>18</v>
      </c>
      <c r="AC52" s="17">
        <f t="shared" si="25"/>
        <v>0</v>
      </c>
      <c r="AD52" s="17">
        <f t="shared" si="26"/>
        <v>1</v>
      </c>
      <c r="AE52" s="17">
        <f t="shared" si="27"/>
        <v>1</v>
      </c>
      <c r="AF52" s="17">
        <f t="shared" si="28"/>
        <v>0</v>
      </c>
      <c r="AG52" s="18">
        <f t="shared" si="29"/>
        <v>1</v>
      </c>
      <c r="AH52" s="18">
        <f t="shared" si="30"/>
        <v>1</v>
      </c>
      <c r="AI52" s="18">
        <f t="shared" si="31"/>
        <v>0</v>
      </c>
      <c r="AJ52" s="19">
        <f t="shared" si="32"/>
        <v>0</v>
      </c>
      <c r="AK52" s="13"/>
      <c r="AL52" s="19">
        <f t="shared" si="34"/>
        <v>0</v>
      </c>
      <c r="AM52" s="2" t="str">
        <f t="shared" si="35"/>
        <v>OK</v>
      </c>
      <c r="AP52" s="2" t="s">
        <v>25</v>
      </c>
      <c r="AQ52" s="34">
        <f t="shared" si="33"/>
        <v>4</v>
      </c>
      <c r="AR52" s="34">
        <f t="shared" si="33"/>
        <v>3</v>
      </c>
      <c r="AS52" s="34">
        <f t="shared" si="33"/>
        <v>3</v>
      </c>
      <c r="AT52" s="34">
        <f t="shared" si="33"/>
        <v>4</v>
      </c>
      <c r="AU52" s="34">
        <f t="shared" si="33"/>
        <v>3</v>
      </c>
      <c r="AV52" s="34">
        <f t="shared" si="33"/>
        <v>4</v>
      </c>
      <c r="AW52" s="19">
        <f t="shared" si="33"/>
        <v>0</v>
      </c>
      <c r="AX52" s="34">
        <f t="shared" si="33"/>
        <v>3</v>
      </c>
      <c r="AY52" s="34">
        <f t="shared" si="33"/>
        <v>4</v>
      </c>
      <c r="AZ52" s="34">
        <f t="shared" si="33"/>
        <v>7</v>
      </c>
      <c r="BA52" s="34">
        <f t="shared" si="33"/>
        <v>3</v>
      </c>
      <c r="BB52" s="34">
        <f t="shared" si="33"/>
        <v>4</v>
      </c>
      <c r="BC52" s="34">
        <f t="shared" si="33"/>
        <v>3</v>
      </c>
      <c r="BD52" s="34">
        <f t="shared" si="33"/>
        <v>4</v>
      </c>
      <c r="BE52" s="34">
        <f t="shared" si="33"/>
        <v>4</v>
      </c>
      <c r="BF52" s="34">
        <f t="shared" si="33"/>
        <v>3</v>
      </c>
    </row>
    <row r="53" spans="1:58" ht="14.25" thickTop="1" thickBot="1" x14ac:dyDescent="0.2">
      <c r="A53" s="2" t="s">
        <v>53</v>
      </c>
      <c r="B53" s="21">
        <f t="shared" ref="B53:Q53" si="38">IF(_xlfn.XOR(_xlfn.XOR(_xlfn.XOR($B$41*B$46,$C$41*B$47),$D$41*B$48),$E$41*B$49),1,0)</f>
        <v>0</v>
      </c>
      <c r="C53" s="22">
        <f t="shared" si="38"/>
        <v>0</v>
      </c>
      <c r="D53" s="22">
        <f t="shared" si="38"/>
        <v>1</v>
      </c>
      <c r="E53" s="22">
        <f t="shared" si="38"/>
        <v>1</v>
      </c>
      <c r="F53" s="22">
        <f t="shared" si="38"/>
        <v>1</v>
      </c>
      <c r="G53" s="22">
        <f t="shared" si="38"/>
        <v>1</v>
      </c>
      <c r="H53" s="22">
        <f t="shared" si="38"/>
        <v>0</v>
      </c>
      <c r="I53" s="22">
        <f t="shared" si="38"/>
        <v>0</v>
      </c>
      <c r="J53" s="22">
        <f t="shared" si="38"/>
        <v>1</v>
      </c>
      <c r="K53" s="22">
        <f t="shared" si="38"/>
        <v>1</v>
      </c>
      <c r="L53" s="22">
        <f t="shared" si="38"/>
        <v>0</v>
      </c>
      <c r="M53" s="22">
        <f t="shared" si="38"/>
        <v>0</v>
      </c>
      <c r="N53" s="22">
        <f t="shared" si="38"/>
        <v>0</v>
      </c>
      <c r="O53" s="22">
        <f t="shared" si="38"/>
        <v>0</v>
      </c>
      <c r="P53" s="22">
        <f t="shared" si="38"/>
        <v>1</v>
      </c>
      <c r="Q53" s="23">
        <f t="shared" si="38"/>
        <v>1</v>
      </c>
      <c r="T53" s="17">
        <f>$I$46</f>
        <v>1</v>
      </c>
      <c r="U53" s="17">
        <f>$I$47</f>
        <v>1</v>
      </c>
      <c r="V53" s="17">
        <f>$I$48</f>
        <v>1</v>
      </c>
      <c r="W53" s="17">
        <f>$I$49</f>
        <v>0</v>
      </c>
      <c r="X53" s="18">
        <f>$I$51</f>
        <v>0</v>
      </c>
      <c r="Y53" s="18">
        <f>$I$52</f>
        <v>0</v>
      </c>
      <c r="Z53" s="18">
        <f>$I$53</f>
        <v>0</v>
      </c>
      <c r="AA53" s="19">
        <f>$I$55</f>
        <v>1</v>
      </c>
      <c r="AB53" s="2" t="s">
        <v>18</v>
      </c>
      <c r="AC53" s="17">
        <f t="shared" si="25"/>
        <v>1</v>
      </c>
      <c r="AD53" s="17">
        <f t="shared" si="26"/>
        <v>1</v>
      </c>
      <c r="AE53" s="17">
        <f t="shared" si="27"/>
        <v>1</v>
      </c>
      <c r="AF53" s="17">
        <f t="shared" si="28"/>
        <v>0</v>
      </c>
      <c r="AG53" s="18">
        <f t="shared" si="29"/>
        <v>0</v>
      </c>
      <c r="AH53" s="18">
        <f t="shared" si="30"/>
        <v>0</v>
      </c>
      <c r="AI53" s="18">
        <f t="shared" si="31"/>
        <v>0</v>
      </c>
      <c r="AJ53" s="19">
        <f t="shared" si="32"/>
        <v>1</v>
      </c>
      <c r="AK53" s="13"/>
      <c r="AL53" s="19">
        <f t="shared" si="34"/>
        <v>1</v>
      </c>
      <c r="AM53" s="2" t="str">
        <f t="shared" si="35"/>
        <v>OK</v>
      </c>
      <c r="AP53" s="2" t="s">
        <v>25</v>
      </c>
      <c r="AQ53" s="34">
        <f t="shared" si="33"/>
        <v>3</v>
      </c>
      <c r="AR53" s="34">
        <f t="shared" si="33"/>
        <v>4</v>
      </c>
      <c r="AS53" s="34">
        <f t="shared" si="33"/>
        <v>4</v>
      </c>
      <c r="AT53" s="34">
        <f t="shared" si="33"/>
        <v>3</v>
      </c>
      <c r="AU53" s="34">
        <f t="shared" si="33"/>
        <v>4</v>
      </c>
      <c r="AV53" s="34">
        <f t="shared" si="33"/>
        <v>3</v>
      </c>
      <c r="AW53" s="34">
        <f t="shared" si="33"/>
        <v>3</v>
      </c>
      <c r="AX53" s="19">
        <f t="shared" si="33"/>
        <v>0</v>
      </c>
      <c r="AY53" s="34">
        <f t="shared" si="33"/>
        <v>7</v>
      </c>
      <c r="AZ53" s="34">
        <f t="shared" si="33"/>
        <v>4</v>
      </c>
      <c r="BA53" s="34">
        <f t="shared" si="33"/>
        <v>4</v>
      </c>
      <c r="BB53" s="34">
        <f t="shared" si="33"/>
        <v>3</v>
      </c>
      <c r="BC53" s="34">
        <f t="shared" si="33"/>
        <v>4</v>
      </c>
      <c r="BD53" s="34">
        <f t="shared" si="33"/>
        <v>3</v>
      </c>
      <c r="BE53" s="34">
        <f t="shared" si="33"/>
        <v>3</v>
      </c>
      <c r="BF53" s="34">
        <f t="shared" si="33"/>
        <v>4</v>
      </c>
    </row>
    <row r="54" spans="1:58" ht="12.75" thickTop="1" thickBot="1" x14ac:dyDescent="0.2">
      <c r="B54" s="2" t="s">
        <v>32</v>
      </c>
      <c r="T54" s="17">
        <f>$J$46</f>
        <v>0</v>
      </c>
      <c r="U54" s="17">
        <f>$J$47</f>
        <v>0</v>
      </c>
      <c r="V54" s="17">
        <f>$J$48</f>
        <v>0</v>
      </c>
      <c r="W54" s="17">
        <f>$J$49</f>
        <v>1</v>
      </c>
      <c r="X54" s="18">
        <f>$J$51</f>
        <v>1</v>
      </c>
      <c r="Y54" s="18">
        <f>$J$52</f>
        <v>1</v>
      </c>
      <c r="Z54" s="18">
        <f>$J$53</f>
        <v>1</v>
      </c>
      <c r="AA54" s="19">
        <f>$J$55</f>
        <v>0</v>
      </c>
      <c r="AB54" s="2" t="s">
        <v>18</v>
      </c>
      <c r="AC54" s="17">
        <f t="shared" si="25"/>
        <v>0</v>
      </c>
      <c r="AD54" s="17">
        <f t="shared" si="26"/>
        <v>0</v>
      </c>
      <c r="AE54" s="17">
        <f t="shared" si="27"/>
        <v>0</v>
      </c>
      <c r="AF54" s="17">
        <f t="shared" si="28"/>
        <v>1</v>
      </c>
      <c r="AG54" s="18">
        <f t="shared" si="29"/>
        <v>1</v>
      </c>
      <c r="AH54" s="18">
        <f t="shared" si="30"/>
        <v>1</v>
      </c>
      <c r="AI54" s="18">
        <f t="shared" si="31"/>
        <v>1</v>
      </c>
      <c r="AJ54" s="19">
        <f t="shared" si="32"/>
        <v>0</v>
      </c>
      <c r="AK54" s="13"/>
      <c r="AL54" s="19">
        <f t="shared" si="34"/>
        <v>0</v>
      </c>
      <c r="AM54" s="2" t="str">
        <f t="shared" si="35"/>
        <v>OK</v>
      </c>
      <c r="AP54" s="2" t="s">
        <v>25</v>
      </c>
      <c r="AQ54" s="34">
        <f t="shared" si="33"/>
        <v>4</v>
      </c>
      <c r="AR54" s="34">
        <f t="shared" si="33"/>
        <v>3</v>
      </c>
      <c r="AS54" s="34">
        <f t="shared" si="33"/>
        <v>3</v>
      </c>
      <c r="AT54" s="34">
        <f t="shared" si="33"/>
        <v>4</v>
      </c>
      <c r="AU54" s="34">
        <f t="shared" si="33"/>
        <v>3</v>
      </c>
      <c r="AV54" s="34">
        <f t="shared" si="33"/>
        <v>4</v>
      </c>
      <c r="AW54" s="34">
        <f t="shared" si="33"/>
        <v>4</v>
      </c>
      <c r="AX54" s="34">
        <f t="shared" si="33"/>
        <v>7</v>
      </c>
      <c r="AY54" s="19">
        <f t="shared" si="33"/>
        <v>0</v>
      </c>
      <c r="AZ54" s="34">
        <f t="shared" si="33"/>
        <v>3</v>
      </c>
      <c r="BA54" s="34">
        <f t="shared" si="33"/>
        <v>3</v>
      </c>
      <c r="BB54" s="34">
        <f t="shared" si="33"/>
        <v>4</v>
      </c>
      <c r="BC54" s="34">
        <f t="shared" si="33"/>
        <v>3</v>
      </c>
      <c r="BD54" s="34">
        <f t="shared" si="33"/>
        <v>4</v>
      </c>
      <c r="BE54" s="34">
        <f t="shared" si="33"/>
        <v>4</v>
      </c>
      <c r="BF54" s="34">
        <f t="shared" si="33"/>
        <v>3</v>
      </c>
    </row>
    <row r="55" spans="1:58" ht="12.75" thickTop="1" thickBot="1" x14ac:dyDescent="0.2">
      <c r="A55" s="2" t="s">
        <v>16</v>
      </c>
      <c r="B55" s="25">
        <f t="shared" ref="B55:Q55" si="39">IF(_xlfn.XOR(B46,_xlfn.XOR(B47,_xlfn.XOR(B48,_xlfn.XOR(B49,_xlfn.XOR(B51,_xlfn.XOR(B52,B53)))))),1,0)</f>
        <v>0</v>
      </c>
      <c r="C55" s="26">
        <f t="shared" si="39"/>
        <v>1</v>
      </c>
      <c r="D55" s="26">
        <f t="shared" si="39"/>
        <v>1</v>
      </c>
      <c r="E55" s="26">
        <f t="shared" si="39"/>
        <v>0</v>
      </c>
      <c r="F55" s="26">
        <f t="shared" si="39"/>
        <v>1</v>
      </c>
      <c r="G55" s="26">
        <f t="shared" si="39"/>
        <v>0</v>
      </c>
      <c r="H55" s="26">
        <f t="shared" si="39"/>
        <v>0</v>
      </c>
      <c r="I55" s="26">
        <f t="shared" si="39"/>
        <v>1</v>
      </c>
      <c r="J55" s="26">
        <f t="shared" si="39"/>
        <v>0</v>
      </c>
      <c r="K55" s="26">
        <f t="shared" si="39"/>
        <v>1</v>
      </c>
      <c r="L55" s="26">
        <f t="shared" si="39"/>
        <v>1</v>
      </c>
      <c r="M55" s="26">
        <f t="shared" si="39"/>
        <v>0</v>
      </c>
      <c r="N55" s="26">
        <f t="shared" si="39"/>
        <v>1</v>
      </c>
      <c r="O55" s="26">
        <f t="shared" si="39"/>
        <v>0</v>
      </c>
      <c r="P55" s="26">
        <f t="shared" si="39"/>
        <v>0</v>
      </c>
      <c r="Q55" s="27">
        <f t="shared" si="39"/>
        <v>1</v>
      </c>
      <c r="T55" s="17">
        <f>$K$46</f>
        <v>1</v>
      </c>
      <c r="U55" s="17">
        <f>$K$47</f>
        <v>0</v>
      </c>
      <c r="V55" s="17">
        <f>$K$48</f>
        <v>0</v>
      </c>
      <c r="W55" s="17">
        <f>$K$49</f>
        <v>1</v>
      </c>
      <c r="X55" s="18">
        <f>$K$51</f>
        <v>0</v>
      </c>
      <c r="Y55" s="18">
        <f>$K$52</f>
        <v>0</v>
      </c>
      <c r="Z55" s="18">
        <f>$K$53</f>
        <v>1</v>
      </c>
      <c r="AA55" s="19">
        <f>$K$55</f>
        <v>1</v>
      </c>
      <c r="AB55" s="2" t="s">
        <v>18</v>
      </c>
      <c r="AC55" s="17">
        <f t="shared" si="25"/>
        <v>1</v>
      </c>
      <c r="AD55" s="17">
        <f t="shared" si="26"/>
        <v>0</v>
      </c>
      <c r="AE55" s="17">
        <f t="shared" si="27"/>
        <v>0</v>
      </c>
      <c r="AF55" s="17">
        <f t="shared" si="28"/>
        <v>1</v>
      </c>
      <c r="AG55" s="18">
        <f t="shared" si="29"/>
        <v>0</v>
      </c>
      <c r="AH55" s="18">
        <f t="shared" si="30"/>
        <v>0</v>
      </c>
      <c r="AI55" s="18">
        <f t="shared" si="31"/>
        <v>1</v>
      </c>
      <c r="AJ55" s="19">
        <f t="shared" si="32"/>
        <v>1</v>
      </c>
      <c r="AK55" s="13"/>
      <c r="AL55" s="19">
        <f t="shared" si="34"/>
        <v>1</v>
      </c>
      <c r="AM55" s="2" t="str">
        <f t="shared" si="35"/>
        <v>OK</v>
      </c>
      <c r="AP55" s="2" t="s">
        <v>25</v>
      </c>
      <c r="AQ55" s="34">
        <f t="shared" si="33"/>
        <v>3</v>
      </c>
      <c r="AR55" s="34">
        <f t="shared" si="33"/>
        <v>4</v>
      </c>
      <c r="AS55" s="34">
        <f t="shared" si="33"/>
        <v>4</v>
      </c>
      <c r="AT55" s="34">
        <f t="shared" si="33"/>
        <v>3</v>
      </c>
      <c r="AU55" s="34">
        <f t="shared" si="33"/>
        <v>4</v>
      </c>
      <c r="AV55" s="34">
        <f t="shared" si="33"/>
        <v>3</v>
      </c>
      <c r="AW55" s="34">
        <f t="shared" si="33"/>
        <v>7</v>
      </c>
      <c r="AX55" s="34">
        <f t="shared" si="33"/>
        <v>4</v>
      </c>
      <c r="AY55" s="34">
        <f t="shared" si="33"/>
        <v>3</v>
      </c>
      <c r="AZ55" s="19">
        <f t="shared" si="33"/>
        <v>0</v>
      </c>
      <c r="BA55" s="34">
        <f t="shared" si="33"/>
        <v>4</v>
      </c>
      <c r="BB55" s="34">
        <f t="shared" si="33"/>
        <v>3</v>
      </c>
      <c r="BC55" s="34">
        <f t="shared" si="33"/>
        <v>4</v>
      </c>
      <c r="BD55" s="34">
        <f t="shared" si="33"/>
        <v>3</v>
      </c>
      <c r="BE55" s="34">
        <f t="shared" si="33"/>
        <v>3</v>
      </c>
      <c r="BF55" s="34">
        <f t="shared" si="33"/>
        <v>4</v>
      </c>
    </row>
    <row r="56" spans="1:58" ht="12.75" thickTop="1" thickBot="1" x14ac:dyDescent="0.2">
      <c r="T56" s="17">
        <f>$L$46</f>
        <v>0</v>
      </c>
      <c r="U56" s="17">
        <f>$L$47</f>
        <v>1</v>
      </c>
      <c r="V56" s="17">
        <f>$L$48</f>
        <v>0</v>
      </c>
      <c r="W56" s="17">
        <f>$L$49</f>
        <v>1</v>
      </c>
      <c r="X56" s="18">
        <f>$L$51</f>
        <v>1</v>
      </c>
      <c r="Y56" s="18">
        <f>$L$52</f>
        <v>0</v>
      </c>
      <c r="Z56" s="18">
        <f>$L$53</f>
        <v>0</v>
      </c>
      <c r="AA56" s="19">
        <f>$L$55</f>
        <v>1</v>
      </c>
      <c r="AB56" s="2" t="s">
        <v>18</v>
      </c>
      <c r="AC56" s="17">
        <f t="shared" si="25"/>
        <v>0</v>
      </c>
      <c r="AD56" s="17">
        <f t="shared" si="26"/>
        <v>1</v>
      </c>
      <c r="AE56" s="17">
        <f t="shared" si="27"/>
        <v>0</v>
      </c>
      <c r="AF56" s="17">
        <f t="shared" si="28"/>
        <v>1</v>
      </c>
      <c r="AG56" s="18">
        <f t="shared" si="29"/>
        <v>1</v>
      </c>
      <c r="AH56" s="18">
        <f t="shared" si="30"/>
        <v>0</v>
      </c>
      <c r="AI56" s="18">
        <f t="shared" si="31"/>
        <v>0</v>
      </c>
      <c r="AJ56" s="19">
        <f t="shared" si="32"/>
        <v>1</v>
      </c>
      <c r="AK56" s="13"/>
      <c r="AL56" s="19">
        <f t="shared" si="34"/>
        <v>1</v>
      </c>
      <c r="AM56" s="2" t="str">
        <f t="shared" si="35"/>
        <v>OK</v>
      </c>
      <c r="AP56" s="2" t="s">
        <v>25</v>
      </c>
      <c r="AQ56" s="34">
        <f t="shared" ref="AQ56:BF61" si="40">IF($AC56&lt;&gt;AQ$63,1,0)+IF($AD56&lt;&gt;AQ$64,1,0)+IF($AE56&lt;&gt;AQ$65,1,0)+IF($AF56&lt;&gt;AQ$66,1,0)+IF($AG56&lt;&gt;AQ$67,1,0)+IF($AH56&lt;&gt;AQ$68,1,0)+IF($AI56&lt;&gt;AQ$69,1,0)</f>
        <v>3</v>
      </c>
      <c r="AR56" s="34">
        <f t="shared" si="40"/>
        <v>4</v>
      </c>
      <c r="AS56" s="34">
        <f t="shared" si="40"/>
        <v>4</v>
      </c>
      <c r="AT56" s="34">
        <f t="shared" si="40"/>
        <v>3</v>
      </c>
      <c r="AU56" s="34">
        <f t="shared" si="40"/>
        <v>4</v>
      </c>
      <c r="AV56" s="34">
        <f t="shared" si="40"/>
        <v>7</v>
      </c>
      <c r="AW56" s="34">
        <f t="shared" si="40"/>
        <v>3</v>
      </c>
      <c r="AX56" s="34">
        <f t="shared" si="40"/>
        <v>4</v>
      </c>
      <c r="AY56" s="34">
        <f t="shared" si="40"/>
        <v>3</v>
      </c>
      <c r="AZ56" s="34">
        <f t="shared" si="40"/>
        <v>4</v>
      </c>
      <c r="BA56" s="19">
        <f t="shared" si="40"/>
        <v>0</v>
      </c>
      <c r="BB56" s="34">
        <f t="shared" si="40"/>
        <v>3</v>
      </c>
      <c r="BC56" s="34">
        <f t="shared" si="40"/>
        <v>4</v>
      </c>
      <c r="BD56" s="34">
        <f t="shared" si="40"/>
        <v>3</v>
      </c>
      <c r="BE56" s="34">
        <f t="shared" si="40"/>
        <v>3</v>
      </c>
      <c r="BF56" s="34">
        <f t="shared" si="40"/>
        <v>4</v>
      </c>
    </row>
    <row r="57" spans="1:58" ht="15" thickTop="1" thickBot="1" x14ac:dyDescent="0.2">
      <c r="B57" s="2" t="s">
        <v>34</v>
      </c>
      <c r="T57" s="17">
        <f>$M$46</f>
        <v>1</v>
      </c>
      <c r="U57" s="17">
        <f>$M$47</f>
        <v>1</v>
      </c>
      <c r="V57" s="17">
        <f>$M$48</f>
        <v>0</v>
      </c>
      <c r="W57" s="17">
        <f>$M$49</f>
        <v>1</v>
      </c>
      <c r="X57" s="18">
        <f>$M$51</f>
        <v>0</v>
      </c>
      <c r="Y57" s="18">
        <f>$M$52</f>
        <v>1</v>
      </c>
      <c r="Z57" s="18">
        <f>$M$53</f>
        <v>0</v>
      </c>
      <c r="AA57" s="19">
        <f>$M$55</f>
        <v>0</v>
      </c>
      <c r="AB57" s="2" t="s">
        <v>18</v>
      </c>
      <c r="AC57" s="17">
        <f t="shared" si="25"/>
        <v>1</v>
      </c>
      <c r="AD57" s="17">
        <f t="shared" si="26"/>
        <v>1</v>
      </c>
      <c r="AE57" s="17">
        <f t="shared" si="27"/>
        <v>0</v>
      </c>
      <c r="AF57" s="17">
        <f t="shared" si="28"/>
        <v>1</v>
      </c>
      <c r="AG57" s="18">
        <f t="shared" si="29"/>
        <v>0</v>
      </c>
      <c r="AH57" s="18">
        <f t="shared" si="30"/>
        <v>1</v>
      </c>
      <c r="AI57" s="18">
        <f t="shared" si="31"/>
        <v>0</v>
      </c>
      <c r="AJ57" s="19">
        <f t="shared" si="32"/>
        <v>0</v>
      </c>
      <c r="AK57" s="13"/>
      <c r="AL57" s="19">
        <f t="shared" si="34"/>
        <v>0</v>
      </c>
      <c r="AM57" s="2" t="str">
        <f t="shared" si="35"/>
        <v>OK</v>
      </c>
      <c r="AP57" s="2" t="s">
        <v>25</v>
      </c>
      <c r="AQ57" s="34">
        <f t="shared" si="40"/>
        <v>4</v>
      </c>
      <c r="AR57" s="34">
        <f t="shared" si="40"/>
        <v>3</v>
      </c>
      <c r="AS57" s="34">
        <f t="shared" si="40"/>
        <v>3</v>
      </c>
      <c r="AT57" s="34">
        <f t="shared" si="40"/>
        <v>4</v>
      </c>
      <c r="AU57" s="34">
        <f t="shared" si="40"/>
        <v>7</v>
      </c>
      <c r="AV57" s="34">
        <f t="shared" si="40"/>
        <v>4</v>
      </c>
      <c r="AW57" s="34">
        <f t="shared" si="40"/>
        <v>4</v>
      </c>
      <c r="AX57" s="34">
        <f t="shared" si="40"/>
        <v>3</v>
      </c>
      <c r="AY57" s="34">
        <f t="shared" si="40"/>
        <v>4</v>
      </c>
      <c r="AZ57" s="34">
        <f t="shared" si="40"/>
        <v>3</v>
      </c>
      <c r="BA57" s="34">
        <f t="shared" si="40"/>
        <v>3</v>
      </c>
      <c r="BB57" s="19">
        <f t="shared" si="40"/>
        <v>0</v>
      </c>
      <c r="BC57" s="34">
        <f t="shared" si="40"/>
        <v>3</v>
      </c>
      <c r="BD57" s="34">
        <f t="shared" si="40"/>
        <v>4</v>
      </c>
      <c r="BE57" s="34">
        <f t="shared" si="40"/>
        <v>4</v>
      </c>
      <c r="BF57" s="34">
        <f t="shared" si="40"/>
        <v>3</v>
      </c>
    </row>
    <row r="58" spans="1:58" ht="15" thickTop="1" thickBot="1" x14ac:dyDescent="0.2">
      <c r="B58" s="2" t="s">
        <v>54</v>
      </c>
      <c r="T58" s="17">
        <f>$N$46</f>
        <v>0</v>
      </c>
      <c r="U58" s="17">
        <f>$N$47</f>
        <v>0</v>
      </c>
      <c r="V58" s="17">
        <f>$N$48</f>
        <v>1</v>
      </c>
      <c r="W58" s="17">
        <f>$N$49</f>
        <v>1</v>
      </c>
      <c r="X58" s="18">
        <f>$N$51</f>
        <v>0</v>
      </c>
      <c r="Y58" s="18">
        <f>$N$52</f>
        <v>1</v>
      </c>
      <c r="Z58" s="18">
        <f>$N$53</f>
        <v>0</v>
      </c>
      <c r="AA58" s="19">
        <f>$N$55</f>
        <v>1</v>
      </c>
      <c r="AB58" s="2" t="s">
        <v>18</v>
      </c>
      <c r="AC58" s="17">
        <f t="shared" si="25"/>
        <v>0</v>
      </c>
      <c r="AD58" s="17">
        <f t="shared" si="26"/>
        <v>0</v>
      </c>
      <c r="AE58" s="17">
        <f t="shared" si="27"/>
        <v>1</v>
      </c>
      <c r="AF58" s="17">
        <f t="shared" si="28"/>
        <v>1</v>
      </c>
      <c r="AG58" s="18">
        <f t="shared" si="29"/>
        <v>0</v>
      </c>
      <c r="AH58" s="18">
        <f t="shared" si="30"/>
        <v>1</v>
      </c>
      <c r="AI58" s="18">
        <f t="shared" si="31"/>
        <v>0</v>
      </c>
      <c r="AJ58" s="19">
        <f t="shared" si="32"/>
        <v>1</v>
      </c>
      <c r="AK58" s="13"/>
      <c r="AL58" s="19">
        <f t="shared" si="34"/>
        <v>1</v>
      </c>
      <c r="AM58" s="2" t="str">
        <f t="shared" si="35"/>
        <v>OK</v>
      </c>
      <c r="AP58" s="2" t="s">
        <v>25</v>
      </c>
      <c r="AQ58" s="34">
        <f t="shared" si="40"/>
        <v>3</v>
      </c>
      <c r="AR58" s="34">
        <f t="shared" si="40"/>
        <v>4</v>
      </c>
      <c r="AS58" s="34">
        <f t="shared" si="40"/>
        <v>4</v>
      </c>
      <c r="AT58" s="34">
        <f t="shared" si="40"/>
        <v>7</v>
      </c>
      <c r="AU58" s="34">
        <f t="shared" si="40"/>
        <v>4</v>
      </c>
      <c r="AV58" s="34">
        <f t="shared" si="40"/>
        <v>3</v>
      </c>
      <c r="AW58" s="34">
        <f t="shared" si="40"/>
        <v>3</v>
      </c>
      <c r="AX58" s="34">
        <f t="shared" si="40"/>
        <v>4</v>
      </c>
      <c r="AY58" s="34">
        <f t="shared" si="40"/>
        <v>3</v>
      </c>
      <c r="AZ58" s="34">
        <f t="shared" si="40"/>
        <v>4</v>
      </c>
      <c r="BA58" s="34">
        <f t="shared" si="40"/>
        <v>4</v>
      </c>
      <c r="BB58" s="34">
        <f t="shared" si="40"/>
        <v>3</v>
      </c>
      <c r="BC58" s="19">
        <f t="shared" si="40"/>
        <v>0</v>
      </c>
      <c r="BD58" s="34">
        <f t="shared" si="40"/>
        <v>3</v>
      </c>
      <c r="BE58" s="34">
        <f t="shared" si="40"/>
        <v>3</v>
      </c>
      <c r="BF58" s="34">
        <f t="shared" si="40"/>
        <v>4</v>
      </c>
    </row>
    <row r="59" spans="1:58" ht="12.75" thickTop="1" thickBot="1" x14ac:dyDescent="0.2">
      <c r="T59" s="17">
        <f>$O$46</f>
        <v>1</v>
      </c>
      <c r="U59" s="17">
        <f>$O$47</f>
        <v>0</v>
      </c>
      <c r="V59" s="17">
        <f>$O$48</f>
        <v>1</v>
      </c>
      <c r="W59" s="17">
        <f>$O$49</f>
        <v>1</v>
      </c>
      <c r="X59" s="18">
        <f>$O$51</f>
        <v>1</v>
      </c>
      <c r="Y59" s="18">
        <f>$O$52</f>
        <v>0</v>
      </c>
      <c r="Z59" s="18">
        <f>$O$53</f>
        <v>0</v>
      </c>
      <c r="AA59" s="19">
        <f>$O$55</f>
        <v>0</v>
      </c>
      <c r="AB59" s="2" t="s">
        <v>18</v>
      </c>
      <c r="AC59" s="17">
        <f t="shared" si="25"/>
        <v>1</v>
      </c>
      <c r="AD59" s="17">
        <f t="shared" si="26"/>
        <v>0</v>
      </c>
      <c r="AE59" s="17">
        <f t="shared" si="27"/>
        <v>1</v>
      </c>
      <c r="AF59" s="17">
        <f t="shared" si="28"/>
        <v>1</v>
      </c>
      <c r="AG59" s="18">
        <f t="shared" si="29"/>
        <v>1</v>
      </c>
      <c r="AH59" s="18">
        <f t="shared" si="30"/>
        <v>0</v>
      </c>
      <c r="AI59" s="18">
        <f t="shared" si="31"/>
        <v>0</v>
      </c>
      <c r="AJ59" s="19">
        <f t="shared" si="32"/>
        <v>0</v>
      </c>
      <c r="AK59" s="13"/>
      <c r="AL59" s="19">
        <f t="shared" si="34"/>
        <v>0</v>
      </c>
      <c r="AM59" s="2" t="str">
        <f t="shared" si="35"/>
        <v>OK</v>
      </c>
      <c r="AP59" s="2" t="s">
        <v>25</v>
      </c>
      <c r="AQ59" s="34">
        <f t="shared" si="40"/>
        <v>4</v>
      </c>
      <c r="AR59" s="34">
        <f t="shared" si="40"/>
        <v>3</v>
      </c>
      <c r="AS59" s="34">
        <f t="shared" si="40"/>
        <v>7</v>
      </c>
      <c r="AT59" s="34">
        <f t="shared" si="40"/>
        <v>4</v>
      </c>
      <c r="AU59" s="34">
        <f t="shared" si="40"/>
        <v>3</v>
      </c>
      <c r="AV59" s="34">
        <f t="shared" si="40"/>
        <v>4</v>
      </c>
      <c r="AW59" s="34">
        <f t="shared" si="40"/>
        <v>4</v>
      </c>
      <c r="AX59" s="34">
        <f t="shared" si="40"/>
        <v>3</v>
      </c>
      <c r="AY59" s="34">
        <f t="shared" si="40"/>
        <v>4</v>
      </c>
      <c r="AZ59" s="34">
        <f t="shared" si="40"/>
        <v>3</v>
      </c>
      <c r="BA59" s="34">
        <f t="shared" si="40"/>
        <v>3</v>
      </c>
      <c r="BB59" s="34">
        <f t="shared" si="40"/>
        <v>4</v>
      </c>
      <c r="BC59" s="34">
        <f t="shared" si="40"/>
        <v>3</v>
      </c>
      <c r="BD59" s="19">
        <f t="shared" si="40"/>
        <v>0</v>
      </c>
      <c r="BE59" s="34">
        <f t="shared" si="40"/>
        <v>4</v>
      </c>
      <c r="BF59" s="34">
        <f t="shared" si="40"/>
        <v>3</v>
      </c>
    </row>
    <row r="60" spans="1:58" ht="12.75" thickTop="1" thickBot="1" x14ac:dyDescent="0.2">
      <c r="T60" s="17">
        <f>$P$46</f>
        <v>0</v>
      </c>
      <c r="U60" s="17">
        <f>$P$47</f>
        <v>1</v>
      </c>
      <c r="V60" s="17">
        <f>$P$48</f>
        <v>1</v>
      </c>
      <c r="W60" s="17">
        <f>$P$49</f>
        <v>1</v>
      </c>
      <c r="X60" s="18">
        <f>$P$51</f>
        <v>0</v>
      </c>
      <c r="Y60" s="18">
        <f>$P$52</f>
        <v>0</v>
      </c>
      <c r="Z60" s="18">
        <f>$P$53</f>
        <v>1</v>
      </c>
      <c r="AA60" s="19">
        <f>$P$55</f>
        <v>0</v>
      </c>
      <c r="AB60" s="2" t="s">
        <v>18</v>
      </c>
      <c r="AC60" s="17">
        <f t="shared" si="25"/>
        <v>0</v>
      </c>
      <c r="AD60" s="17">
        <f t="shared" si="26"/>
        <v>1</v>
      </c>
      <c r="AE60" s="17">
        <f t="shared" si="27"/>
        <v>1</v>
      </c>
      <c r="AF60" s="17">
        <f t="shared" si="28"/>
        <v>1</v>
      </c>
      <c r="AG60" s="18">
        <f t="shared" si="29"/>
        <v>0</v>
      </c>
      <c r="AH60" s="18">
        <f t="shared" si="30"/>
        <v>0</v>
      </c>
      <c r="AI60" s="18">
        <f t="shared" si="31"/>
        <v>1</v>
      </c>
      <c r="AJ60" s="19">
        <f t="shared" si="32"/>
        <v>0</v>
      </c>
      <c r="AK60" s="13"/>
      <c r="AL60" s="19">
        <f t="shared" si="34"/>
        <v>0</v>
      </c>
      <c r="AM60" s="2" t="str">
        <f t="shared" si="35"/>
        <v>OK</v>
      </c>
      <c r="AP60" s="2" t="s">
        <v>25</v>
      </c>
      <c r="AQ60" s="34">
        <f t="shared" si="40"/>
        <v>4</v>
      </c>
      <c r="AR60" s="34">
        <f t="shared" si="40"/>
        <v>7</v>
      </c>
      <c r="AS60" s="34">
        <f t="shared" si="40"/>
        <v>3</v>
      </c>
      <c r="AT60" s="34">
        <f t="shared" si="40"/>
        <v>4</v>
      </c>
      <c r="AU60" s="34">
        <f t="shared" si="40"/>
        <v>3</v>
      </c>
      <c r="AV60" s="34">
        <f t="shared" si="40"/>
        <v>4</v>
      </c>
      <c r="AW60" s="34">
        <f t="shared" si="40"/>
        <v>4</v>
      </c>
      <c r="AX60" s="34">
        <f t="shared" si="40"/>
        <v>3</v>
      </c>
      <c r="AY60" s="34">
        <f t="shared" si="40"/>
        <v>4</v>
      </c>
      <c r="AZ60" s="34">
        <f t="shared" si="40"/>
        <v>3</v>
      </c>
      <c r="BA60" s="34">
        <f t="shared" si="40"/>
        <v>3</v>
      </c>
      <c r="BB60" s="34">
        <f t="shared" si="40"/>
        <v>4</v>
      </c>
      <c r="BC60" s="34">
        <f t="shared" si="40"/>
        <v>3</v>
      </c>
      <c r="BD60" s="34">
        <f t="shared" si="40"/>
        <v>4</v>
      </c>
      <c r="BE60" s="19">
        <f t="shared" si="40"/>
        <v>0</v>
      </c>
      <c r="BF60" s="34">
        <f t="shared" si="40"/>
        <v>3</v>
      </c>
    </row>
    <row r="61" spans="1:58" ht="12" thickTop="1" x14ac:dyDescent="0.15">
      <c r="T61" s="29">
        <f>$Q$46</f>
        <v>1</v>
      </c>
      <c r="U61" s="29">
        <f>$Q$47</f>
        <v>1</v>
      </c>
      <c r="V61" s="29">
        <f>$Q$48</f>
        <v>1</v>
      </c>
      <c r="W61" s="29">
        <f>$Q$49</f>
        <v>1</v>
      </c>
      <c r="X61" s="30">
        <f>$Q$51</f>
        <v>1</v>
      </c>
      <c r="Y61" s="30">
        <f>$Q$52</f>
        <v>1</v>
      </c>
      <c r="Z61" s="30">
        <f>$Q$53</f>
        <v>1</v>
      </c>
      <c r="AA61" s="31">
        <f>$Q$55</f>
        <v>1</v>
      </c>
      <c r="AB61" s="2" t="s">
        <v>18</v>
      </c>
      <c r="AC61" s="29">
        <f t="shared" si="25"/>
        <v>1</v>
      </c>
      <c r="AD61" s="29">
        <f t="shared" si="26"/>
        <v>1</v>
      </c>
      <c r="AE61" s="29">
        <f t="shared" si="27"/>
        <v>1</v>
      </c>
      <c r="AF61" s="29">
        <f t="shared" si="28"/>
        <v>1</v>
      </c>
      <c r="AG61" s="30">
        <f t="shared" si="29"/>
        <v>1</v>
      </c>
      <c r="AH61" s="30">
        <f t="shared" si="30"/>
        <v>1</v>
      </c>
      <c r="AI61" s="30">
        <f t="shared" si="31"/>
        <v>1</v>
      </c>
      <c r="AJ61" s="31">
        <f t="shared" si="32"/>
        <v>1</v>
      </c>
      <c r="AK61" s="13"/>
      <c r="AL61" s="31">
        <f t="shared" si="34"/>
        <v>1</v>
      </c>
      <c r="AM61" s="2" t="str">
        <f t="shared" si="35"/>
        <v>OK</v>
      </c>
      <c r="AP61" s="2" t="s">
        <v>25</v>
      </c>
      <c r="AQ61" s="35">
        <f t="shared" si="40"/>
        <v>7</v>
      </c>
      <c r="AR61" s="35">
        <f t="shared" si="40"/>
        <v>4</v>
      </c>
      <c r="AS61" s="35">
        <f t="shared" si="40"/>
        <v>4</v>
      </c>
      <c r="AT61" s="35">
        <f t="shared" si="40"/>
        <v>3</v>
      </c>
      <c r="AU61" s="35">
        <f t="shared" si="40"/>
        <v>4</v>
      </c>
      <c r="AV61" s="35">
        <f t="shared" si="40"/>
        <v>3</v>
      </c>
      <c r="AW61" s="35">
        <f t="shared" si="40"/>
        <v>3</v>
      </c>
      <c r="AX61" s="35">
        <f t="shared" si="40"/>
        <v>4</v>
      </c>
      <c r="AY61" s="35">
        <f t="shared" si="40"/>
        <v>3</v>
      </c>
      <c r="AZ61" s="35">
        <f t="shared" si="40"/>
        <v>4</v>
      </c>
      <c r="BA61" s="35">
        <f t="shared" si="40"/>
        <v>4</v>
      </c>
      <c r="BB61" s="35">
        <f t="shared" si="40"/>
        <v>3</v>
      </c>
      <c r="BC61" s="35">
        <f t="shared" si="40"/>
        <v>4</v>
      </c>
      <c r="BD61" s="35">
        <f t="shared" si="40"/>
        <v>3</v>
      </c>
      <c r="BE61" s="35">
        <f t="shared" si="40"/>
        <v>3</v>
      </c>
      <c r="BF61" s="31">
        <f t="shared" si="40"/>
        <v>0</v>
      </c>
    </row>
    <row r="62" spans="1:58" x14ac:dyDescent="0.15">
      <c r="AQ62" s="2" t="s">
        <v>26</v>
      </c>
      <c r="AR62" s="2" t="s">
        <v>26</v>
      </c>
      <c r="AS62" s="2" t="s">
        <v>26</v>
      </c>
      <c r="AT62" s="2" t="s">
        <v>26</v>
      </c>
      <c r="AU62" s="2" t="s">
        <v>26</v>
      </c>
      <c r="AV62" s="2" t="s">
        <v>26</v>
      </c>
      <c r="AW62" s="2" t="s">
        <v>26</v>
      </c>
      <c r="AX62" s="2" t="s">
        <v>26</v>
      </c>
      <c r="AY62" s="2" t="s">
        <v>26</v>
      </c>
      <c r="AZ62" s="2" t="s">
        <v>26</v>
      </c>
      <c r="BA62" s="2" t="s">
        <v>26</v>
      </c>
      <c r="BB62" s="2" t="s">
        <v>26</v>
      </c>
      <c r="BC62" s="2" t="s">
        <v>26</v>
      </c>
      <c r="BD62" s="2" t="s">
        <v>26</v>
      </c>
      <c r="BE62" s="2" t="s">
        <v>26</v>
      </c>
      <c r="BF62" s="2" t="s">
        <v>26</v>
      </c>
    </row>
    <row r="63" spans="1:58" ht="12.75" x14ac:dyDescent="0.15">
      <c r="AP63" s="2" t="s">
        <v>45</v>
      </c>
      <c r="AQ63" s="8">
        <f t="shared" ref="AQ63:BF66" si="41">B46</f>
        <v>0</v>
      </c>
      <c r="AR63" s="9">
        <f t="shared" si="41"/>
        <v>1</v>
      </c>
      <c r="AS63" s="9">
        <f t="shared" si="41"/>
        <v>0</v>
      </c>
      <c r="AT63" s="9">
        <f t="shared" si="41"/>
        <v>1</v>
      </c>
      <c r="AU63" s="9">
        <f t="shared" si="41"/>
        <v>0</v>
      </c>
      <c r="AV63" s="9">
        <f t="shared" si="41"/>
        <v>1</v>
      </c>
      <c r="AW63" s="9">
        <f t="shared" si="41"/>
        <v>0</v>
      </c>
      <c r="AX63" s="9">
        <f t="shared" si="41"/>
        <v>1</v>
      </c>
      <c r="AY63" s="9">
        <f t="shared" si="41"/>
        <v>0</v>
      </c>
      <c r="AZ63" s="9">
        <f t="shared" si="41"/>
        <v>1</v>
      </c>
      <c r="BA63" s="9">
        <f t="shared" si="41"/>
        <v>0</v>
      </c>
      <c r="BB63" s="9">
        <f t="shared" si="41"/>
        <v>1</v>
      </c>
      <c r="BC63" s="9">
        <f t="shared" si="41"/>
        <v>0</v>
      </c>
      <c r="BD63" s="9">
        <f t="shared" si="41"/>
        <v>1</v>
      </c>
      <c r="BE63" s="9">
        <f t="shared" si="41"/>
        <v>0</v>
      </c>
      <c r="BF63" s="10">
        <f t="shared" si="41"/>
        <v>1</v>
      </c>
    </row>
    <row r="64" spans="1:58" ht="12.75" x14ac:dyDescent="0.15">
      <c r="AP64" s="2" t="s">
        <v>46</v>
      </c>
      <c r="AQ64" s="8">
        <f t="shared" si="41"/>
        <v>0</v>
      </c>
      <c r="AR64" s="9">
        <f t="shared" si="41"/>
        <v>0</v>
      </c>
      <c r="AS64" s="9">
        <f t="shared" si="41"/>
        <v>1</v>
      </c>
      <c r="AT64" s="9">
        <f t="shared" si="41"/>
        <v>1</v>
      </c>
      <c r="AU64" s="9">
        <f t="shared" si="41"/>
        <v>0</v>
      </c>
      <c r="AV64" s="9">
        <f t="shared" si="41"/>
        <v>0</v>
      </c>
      <c r="AW64" s="9">
        <f t="shared" si="41"/>
        <v>1</v>
      </c>
      <c r="AX64" s="9">
        <f t="shared" si="41"/>
        <v>1</v>
      </c>
      <c r="AY64" s="9">
        <f t="shared" si="41"/>
        <v>0</v>
      </c>
      <c r="AZ64" s="9">
        <f t="shared" si="41"/>
        <v>0</v>
      </c>
      <c r="BA64" s="9">
        <f t="shared" si="41"/>
        <v>1</v>
      </c>
      <c r="BB64" s="9">
        <f t="shared" si="41"/>
        <v>1</v>
      </c>
      <c r="BC64" s="9">
        <f t="shared" si="41"/>
        <v>0</v>
      </c>
      <c r="BD64" s="9">
        <f t="shared" si="41"/>
        <v>0</v>
      </c>
      <c r="BE64" s="9">
        <f t="shared" si="41"/>
        <v>1</v>
      </c>
      <c r="BF64" s="10">
        <f t="shared" si="41"/>
        <v>1</v>
      </c>
    </row>
    <row r="65" spans="42:58" ht="12.75" x14ac:dyDescent="0.15">
      <c r="AP65" s="2" t="s">
        <v>47</v>
      </c>
      <c r="AQ65" s="8">
        <f t="shared" si="41"/>
        <v>0</v>
      </c>
      <c r="AR65" s="9">
        <f t="shared" si="41"/>
        <v>0</v>
      </c>
      <c r="AS65" s="9">
        <f t="shared" si="41"/>
        <v>0</v>
      </c>
      <c r="AT65" s="9">
        <f t="shared" si="41"/>
        <v>0</v>
      </c>
      <c r="AU65" s="9">
        <f t="shared" si="41"/>
        <v>1</v>
      </c>
      <c r="AV65" s="9">
        <f t="shared" si="41"/>
        <v>1</v>
      </c>
      <c r="AW65" s="9">
        <f t="shared" si="41"/>
        <v>1</v>
      </c>
      <c r="AX65" s="9">
        <f t="shared" si="41"/>
        <v>1</v>
      </c>
      <c r="AY65" s="9">
        <f t="shared" si="41"/>
        <v>0</v>
      </c>
      <c r="AZ65" s="9">
        <f t="shared" si="41"/>
        <v>0</v>
      </c>
      <c r="BA65" s="9">
        <f t="shared" si="41"/>
        <v>0</v>
      </c>
      <c r="BB65" s="9">
        <f t="shared" si="41"/>
        <v>0</v>
      </c>
      <c r="BC65" s="9">
        <f t="shared" si="41"/>
        <v>1</v>
      </c>
      <c r="BD65" s="9">
        <f t="shared" si="41"/>
        <v>1</v>
      </c>
      <c r="BE65" s="9">
        <f t="shared" si="41"/>
        <v>1</v>
      </c>
      <c r="BF65" s="10">
        <f t="shared" si="41"/>
        <v>1</v>
      </c>
    </row>
    <row r="66" spans="42:58" ht="12.75" x14ac:dyDescent="0.15">
      <c r="AP66" s="2" t="s">
        <v>48</v>
      </c>
      <c r="AQ66" s="8">
        <f t="shared" si="41"/>
        <v>0</v>
      </c>
      <c r="AR66" s="9">
        <f t="shared" si="41"/>
        <v>0</v>
      </c>
      <c r="AS66" s="9">
        <f t="shared" si="41"/>
        <v>0</v>
      </c>
      <c r="AT66" s="9">
        <f t="shared" si="41"/>
        <v>0</v>
      </c>
      <c r="AU66" s="9">
        <f t="shared" si="41"/>
        <v>0</v>
      </c>
      <c r="AV66" s="9">
        <f t="shared" si="41"/>
        <v>0</v>
      </c>
      <c r="AW66" s="9">
        <f t="shared" si="41"/>
        <v>0</v>
      </c>
      <c r="AX66" s="9">
        <f t="shared" si="41"/>
        <v>0</v>
      </c>
      <c r="AY66" s="9">
        <f t="shared" si="41"/>
        <v>1</v>
      </c>
      <c r="AZ66" s="9">
        <f t="shared" si="41"/>
        <v>1</v>
      </c>
      <c r="BA66" s="9">
        <f t="shared" si="41"/>
        <v>1</v>
      </c>
      <c r="BB66" s="9">
        <f t="shared" si="41"/>
        <v>1</v>
      </c>
      <c r="BC66" s="9">
        <f t="shared" si="41"/>
        <v>1</v>
      </c>
      <c r="BD66" s="9">
        <f t="shared" si="41"/>
        <v>1</v>
      </c>
      <c r="BE66" s="9">
        <f t="shared" si="41"/>
        <v>1</v>
      </c>
      <c r="BF66" s="10">
        <f t="shared" si="41"/>
        <v>1</v>
      </c>
    </row>
    <row r="67" spans="42:58" ht="12.75" x14ac:dyDescent="0.15">
      <c r="AP67" s="2" t="s">
        <v>51</v>
      </c>
      <c r="AQ67" s="21">
        <f t="shared" ref="AQ67:BF69" si="42">B51</f>
        <v>0</v>
      </c>
      <c r="AR67" s="22">
        <f t="shared" si="42"/>
        <v>1</v>
      </c>
      <c r="AS67" s="22">
        <f t="shared" si="42"/>
        <v>0</v>
      </c>
      <c r="AT67" s="22">
        <f t="shared" si="42"/>
        <v>1</v>
      </c>
      <c r="AU67" s="22">
        <f t="shared" si="42"/>
        <v>1</v>
      </c>
      <c r="AV67" s="22">
        <f t="shared" si="42"/>
        <v>0</v>
      </c>
      <c r="AW67" s="22">
        <f t="shared" si="42"/>
        <v>1</v>
      </c>
      <c r="AX67" s="22">
        <f t="shared" si="42"/>
        <v>0</v>
      </c>
      <c r="AY67" s="22">
        <f t="shared" si="42"/>
        <v>1</v>
      </c>
      <c r="AZ67" s="22">
        <f t="shared" si="42"/>
        <v>0</v>
      </c>
      <c r="BA67" s="22">
        <f t="shared" si="42"/>
        <v>1</v>
      </c>
      <c r="BB67" s="22">
        <f t="shared" si="42"/>
        <v>0</v>
      </c>
      <c r="BC67" s="22">
        <f t="shared" si="42"/>
        <v>0</v>
      </c>
      <c r="BD67" s="22">
        <f t="shared" si="42"/>
        <v>1</v>
      </c>
      <c r="BE67" s="22">
        <f t="shared" si="42"/>
        <v>0</v>
      </c>
      <c r="BF67" s="23">
        <f t="shared" si="42"/>
        <v>1</v>
      </c>
    </row>
    <row r="68" spans="42:58" ht="12.75" x14ac:dyDescent="0.15">
      <c r="AP68" s="2" t="s">
        <v>52</v>
      </c>
      <c r="AQ68" s="21">
        <f t="shared" si="42"/>
        <v>0</v>
      </c>
      <c r="AR68" s="22">
        <f t="shared" si="42"/>
        <v>1</v>
      </c>
      <c r="AS68" s="22">
        <f t="shared" si="42"/>
        <v>1</v>
      </c>
      <c r="AT68" s="22">
        <f t="shared" si="42"/>
        <v>0</v>
      </c>
      <c r="AU68" s="22">
        <f t="shared" si="42"/>
        <v>0</v>
      </c>
      <c r="AV68" s="22">
        <f t="shared" si="42"/>
        <v>1</v>
      </c>
      <c r="AW68" s="22">
        <f t="shared" si="42"/>
        <v>1</v>
      </c>
      <c r="AX68" s="22">
        <f t="shared" si="42"/>
        <v>0</v>
      </c>
      <c r="AY68" s="22">
        <f t="shared" si="42"/>
        <v>1</v>
      </c>
      <c r="AZ68" s="22">
        <f t="shared" si="42"/>
        <v>0</v>
      </c>
      <c r="BA68" s="22">
        <f t="shared" si="42"/>
        <v>0</v>
      </c>
      <c r="BB68" s="22">
        <f t="shared" si="42"/>
        <v>1</v>
      </c>
      <c r="BC68" s="22">
        <f t="shared" si="42"/>
        <v>1</v>
      </c>
      <c r="BD68" s="22">
        <f t="shared" si="42"/>
        <v>0</v>
      </c>
      <c r="BE68" s="22">
        <f t="shared" si="42"/>
        <v>0</v>
      </c>
      <c r="BF68" s="23">
        <f t="shared" si="42"/>
        <v>1</v>
      </c>
    </row>
    <row r="69" spans="42:58" ht="12.75" x14ac:dyDescent="0.15">
      <c r="AP69" s="2" t="s">
        <v>53</v>
      </c>
      <c r="AQ69" s="21">
        <f t="shared" si="42"/>
        <v>0</v>
      </c>
      <c r="AR69" s="22">
        <f t="shared" si="42"/>
        <v>0</v>
      </c>
      <c r="AS69" s="22">
        <f t="shared" si="42"/>
        <v>1</v>
      </c>
      <c r="AT69" s="22">
        <f t="shared" si="42"/>
        <v>1</v>
      </c>
      <c r="AU69" s="22">
        <f t="shared" si="42"/>
        <v>1</v>
      </c>
      <c r="AV69" s="22">
        <f t="shared" si="42"/>
        <v>1</v>
      </c>
      <c r="AW69" s="22">
        <f t="shared" si="42"/>
        <v>0</v>
      </c>
      <c r="AX69" s="22">
        <f t="shared" si="42"/>
        <v>0</v>
      </c>
      <c r="AY69" s="22">
        <f t="shared" si="42"/>
        <v>1</v>
      </c>
      <c r="AZ69" s="22">
        <f t="shared" si="42"/>
        <v>1</v>
      </c>
      <c r="BA69" s="22">
        <f t="shared" si="42"/>
        <v>0</v>
      </c>
      <c r="BB69" s="22">
        <f t="shared" si="42"/>
        <v>0</v>
      </c>
      <c r="BC69" s="22">
        <f t="shared" si="42"/>
        <v>0</v>
      </c>
      <c r="BD69" s="22">
        <f t="shared" si="42"/>
        <v>0</v>
      </c>
      <c r="BE69" s="22">
        <f t="shared" si="42"/>
        <v>1</v>
      </c>
      <c r="BF69" s="23">
        <f t="shared" si="42"/>
        <v>1</v>
      </c>
    </row>
    <row r="70" spans="42:58" x14ac:dyDescent="0.15">
      <c r="AQ70" s="2" t="s">
        <v>27</v>
      </c>
    </row>
    <row r="72" spans="42:58" x14ac:dyDescent="0.15">
      <c r="AQ72" s="2" t="s">
        <v>87</v>
      </c>
    </row>
    <row r="73" spans="42:58" x14ac:dyDescent="0.15">
      <c r="AQ73" s="2" t="s">
        <v>89</v>
      </c>
    </row>
    <row r="74" spans="42:58" x14ac:dyDescent="0.15">
      <c r="AQ74" s="2" t="s">
        <v>90</v>
      </c>
    </row>
    <row r="75" spans="42:58" x14ac:dyDescent="0.15">
      <c r="AQ75" s="2" t="s">
        <v>88</v>
      </c>
    </row>
    <row r="76" spans="42:58" x14ac:dyDescent="0.15">
      <c r="AQ76" s="2" t="s">
        <v>28</v>
      </c>
    </row>
  </sheetData>
  <phoneticPr fontId="1"/>
  <conditionalFormatting sqref="EB20:EQ20">
    <cfRule type="cellIs" dxfId="4" priority="3" operator="notEqual">
      <formula>"0"</formula>
    </cfRule>
  </conditionalFormatting>
  <conditionalFormatting sqref="EB21:EQ21">
    <cfRule type="cellIs" dxfId="3" priority="4" operator="notEqual">
      <formula>0</formula>
    </cfRule>
  </conditionalFormatting>
  <conditionalFormatting sqref="CF14:CF29">
    <cfRule type="cellIs" dxfId="2" priority="2" operator="equal">
      <formula>"NG!"</formula>
    </cfRule>
  </conditionalFormatting>
  <conditionalFormatting sqref="EB22:EQ22">
    <cfRule type="cellIs" dxfId="1" priority="1" operator="equal">
      <formula>"×"</formula>
    </cfRule>
  </conditionalFormatting>
  <hyperlinks>
    <hyperlink ref="A36" r:id="rId1"/>
    <hyperlink ref="A10" r:id="rId2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ハミング符号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板垣衛</dc:creator>
  <cp:lastModifiedBy>板垣衛</cp:lastModifiedBy>
  <dcterms:created xsi:type="dcterms:W3CDTF">2014-05-08T18:58:38Z</dcterms:created>
  <dcterms:modified xsi:type="dcterms:W3CDTF">2014-05-10T02:17:26Z</dcterms:modified>
</cp:coreProperties>
</file>